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heorieken/Desktop/"/>
    </mc:Choice>
  </mc:AlternateContent>
  <xr:revisionPtr revIDLastSave="0" documentId="13_ncr:1_{A77C9673-F955-FA4D-8C0B-ACEE65CC48C6}" xr6:coauthVersionLast="47" xr6:coauthVersionMax="47" xr10:uidLastSave="{00000000-0000-0000-0000-000000000000}"/>
  <bookViews>
    <workbookView xWindow="-36000" yWindow="23280" windowWidth="36000" windowHeight="22600" activeTab="1" xr2:uid="{00000000-000D-0000-FFFF-FFFF00000000}"/>
  </bookViews>
  <sheets>
    <sheet name="Übersicht" sheetId="1" r:id="rId1"/>
    <sheet name="Annahmen" sheetId="2" r:id="rId2"/>
    <sheet name="Monatlich" sheetId="3" r:id="rId3"/>
    <sheet name="Einmali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A55" i="2"/>
  <c r="B39" i="2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D39" i="2"/>
  <c r="D44" i="2" s="1"/>
  <c r="C39" i="2"/>
  <c r="C44" i="2"/>
  <c r="C14" i="2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A12" i="1"/>
  <c r="L11" i="1"/>
  <c r="K11" i="1"/>
  <c r="J11" i="1"/>
  <c r="I11" i="1"/>
  <c r="H11" i="1"/>
  <c r="M11" i="1" s="1"/>
  <c r="G5" i="1" s="1"/>
  <c r="F11" i="1"/>
  <c r="E11" i="1"/>
  <c r="D11" i="1"/>
  <c r="A11" i="1"/>
  <c r="C5" i="1"/>
  <c r="C4" i="1"/>
  <c r="K12" i="1" l="1"/>
  <c r="J12" i="1"/>
  <c r="E12" i="1"/>
  <c r="A13" i="1"/>
  <c r="F12" i="1"/>
  <c r="D12" i="1"/>
  <c r="C46" i="2"/>
  <c r="C45" i="2"/>
  <c r="D46" i="2"/>
  <c r="D45" i="2"/>
  <c r="L12" i="1"/>
  <c r="D48" i="2" l="1"/>
  <c r="D47" i="2"/>
  <c r="E13" i="1"/>
  <c r="D13" i="1"/>
  <c r="J13" i="1"/>
  <c r="M13" i="1" s="1"/>
  <c r="L13" i="1"/>
  <c r="K13" i="1"/>
  <c r="F13" i="1"/>
  <c r="A14" i="1"/>
  <c r="D50" i="2"/>
  <c r="D49" i="2"/>
  <c r="M12" i="1"/>
  <c r="C48" i="2"/>
  <c r="C47" i="2"/>
  <c r="C55" i="2" s="1"/>
  <c r="C50" i="2"/>
  <c r="C49" i="2"/>
  <c r="L14" i="1" l="1"/>
  <c r="K14" i="1"/>
  <c r="J14" i="1"/>
  <c r="A15" i="1"/>
  <c r="F14" i="1"/>
  <c r="E14" i="1"/>
  <c r="D14" i="1"/>
  <c r="B25" i="1"/>
  <c r="B18" i="1"/>
  <c r="B32" i="1"/>
  <c r="B11" i="1"/>
  <c r="C56" i="2"/>
  <c r="B29" i="1"/>
  <c r="B22" i="1"/>
  <c r="B15" i="1"/>
  <c r="B34" i="1"/>
  <c r="B27" i="1"/>
  <c r="B20" i="1"/>
  <c r="B13" i="1"/>
  <c r="B33" i="1"/>
  <c r="B26" i="1"/>
  <c r="B19" i="1"/>
  <c r="B12" i="1"/>
  <c r="B31" i="1"/>
  <c r="B24" i="1"/>
  <c r="B17" i="1"/>
  <c r="G4" i="1"/>
  <c r="B28" i="1"/>
  <c r="B21" i="1"/>
  <c r="B14" i="1"/>
  <c r="B16" i="1"/>
  <c r="B23" i="1"/>
  <c r="B30" i="1"/>
  <c r="D55" i="2"/>
  <c r="C32" i="1" l="1"/>
  <c r="C25" i="1"/>
  <c r="C18" i="1"/>
  <c r="C11" i="1"/>
  <c r="C31" i="1"/>
  <c r="C24" i="1"/>
  <c r="C28" i="1"/>
  <c r="C34" i="1"/>
  <c r="C27" i="1"/>
  <c r="C20" i="1"/>
  <c r="C13" i="1"/>
  <c r="C29" i="1"/>
  <c r="C22" i="1"/>
  <c r="C15" i="1"/>
  <c r="G15" i="1" s="1"/>
  <c r="N15" i="1" s="1"/>
  <c r="C17" i="1"/>
  <c r="C33" i="1"/>
  <c r="C26" i="1"/>
  <c r="C19" i="1"/>
  <c r="C12" i="1"/>
  <c r="G12" i="1" s="1"/>
  <c r="N12" i="1" s="1"/>
  <c r="C23" i="1"/>
  <c r="C30" i="1"/>
  <c r="C14" i="1"/>
  <c r="C21" i="1"/>
  <c r="C16" i="1"/>
  <c r="G13" i="1"/>
  <c r="N13" i="1" s="1"/>
  <c r="A16" i="1"/>
  <c r="F15" i="1"/>
  <c r="E15" i="1"/>
  <c r="D15" i="1"/>
  <c r="L15" i="1"/>
  <c r="J15" i="1"/>
  <c r="M15" i="1" s="1"/>
  <c r="K15" i="1"/>
  <c r="O11" i="1"/>
  <c r="M14" i="1"/>
  <c r="G14" i="1"/>
  <c r="N14" i="1" s="1"/>
  <c r="J16" i="1" l="1"/>
  <c r="M16" i="1" s="1"/>
  <c r="K16" i="1"/>
  <c r="L16" i="1"/>
  <c r="A17" i="1"/>
  <c r="F16" i="1"/>
  <c r="D16" i="1"/>
  <c r="E16" i="1"/>
  <c r="P11" i="1"/>
  <c r="R11" i="1"/>
  <c r="G11" i="1"/>
  <c r="N11" i="1" s="1"/>
  <c r="G6" i="1" s="1"/>
  <c r="S11" i="1"/>
  <c r="Q11" i="1"/>
  <c r="T11" i="1" l="1"/>
  <c r="O12" i="1"/>
  <c r="Q12" i="1" s="1"/>
  <c r="P12" i="1"/>
  <c r="R12" i="1" s="1"/>
  <c r="A18" i="1"/>
  <c r="E17" i="1"/>
  <c r="F17" i="1"/>
  <c r="D17" i="1"/>
  <c r="L17" i="1"/>
  <c r="K17" i="1"/>
  <c r="J17" i="1"/>
  <c r="M17" i="1" s="1"/>
  <c r="G16" i="1"/>
  <c r="N16" i="1" s="1"/>
  <c r="P13" i="1" l="1"/>
  <c r="R13" i="1" s="1"/>
  <c r="O13" i="1"/>
  <c r="Q13" i="1" s="1"/>
  <c r="G17" i="1"/>
  <c r="N17" i="1" s="1"/>
  <c r="K18" i="1"/>
  <c r="L18" i="1"/>
  <c r="J18" i="1"/>
  <c r="F18" i="1"/>
  <c r="E18" i="1"/>
  <c r="D18" i="1"/>
  <c r="G18" i="1" s="1"/>
  <c r="A19" i="1"/>
  <c r="S12" i="1"/>
  <c r="S13" i="1" s="1"/>
  <c r="T13" i="1" l="1"/>
  <c r="O14" i="1"/>
  <c r="Q14" i="1" s="1"/>
  <c r="P14" i="1"/>
  <c r="R14" i="1" s="1"/>
  <c r="S14" i="1"/>
  <c r="K19" i="1"/>
  <c r="J19" i="1"/>
  <c r="A20" i="1"/>
  <c r="F19" i="1"/>
  <c r="E19" i="1"/>
  <c r="D19" i="1"/>
  <c r="G19" i="1" s="1"/>
  <c r="L19" i="1"/>
  <c r="M18" i="1"/>
  <c r="N18" i="1" s="1"/>
  <c r="T12" i="1"/>
  <c r="P15" i="1" l="1"/>
  <c r="R15" i="1" s="1"/>
  <c r="O15" i="1"/>
  <c r="S15" i="1" s="1"/>
  <c r="T14" i="1"/>
  <c r="E20" i="1"/>
  <c r="D20" i="1"/>
  <c r="J20" i="1"/>
  <c r="L20" i="1"/>
  <c r="K20" i="1"/>
  <c r="F20" i="1"/>
  <c r="A21" i="1"/>
  <c r="M19" i="1"/>
  <c r="N19" i="1" s="1"/>
  <c r="P16" i="1" l="1"/>
  <c r="R16" i="1" s="1"/>
  <c r="L21" i="1"/>
  <c r="A22" i="1"/>
  <c r="K21" i="1"/>
  <c r="J21" i="1"/>
  <c r="M21" i="1" s="1"/>
  <c r="F21" i="1"/>
  <c r="E21" i="1"/>
  <c r="D21" i="1"/>
  <c r="G21" i="1" s="1"/>
  <c r="N21" i="1" s="1"/>
  <c r="M20" i="1"/>
  <c r="Q15" i="1"/>
  <c r="G20" i="1"/>
  <c r="N20" i="1" s="1"/>
  <c r="P17" i="1" l="1"/>
  <c r="R17" i="1" s="1"/>
  <c r="O16" i="1"/>
  <c r="S16" i="1" s="1"/>
  <c r="T15" i="1"/>
  <c r="Q16" i="1"/>
  <c r="A23" i="1"/>
  <c r="F22" i="1"/>
  <c r="E22" i="1"/>
  <c r="D22" i="1"/>
  <c r="G22" i="1" s="1"/>
  <c r="L22" i="1"/>
  <c r="J22" i="1"/>
  <c r="K22" i="1"/>
  <c r="P18" i="1" l="1"/>
  <c r="R18" i="1"/>
  <c r="M22" i="1"/>
  <c r="N22" i="1"/>
  <c r="K23" i="1"/>
  <c r="L23" i="1"/>
  <c r="J23" i="1"/>
  <c r="F23" i="1"/>
  <c r="A24" i="1"/>
  <c r="D23" i="1"/>
  <c r="E23" i="1"/>
  <c r="T16" i="1"/>
  <c r="O17" i="1"/>
  <c r="S17" i="1" s="1"/>
  <c r="Q17" i="1" l="1"/>
  <c r="A25" i="1"/>
  <c r="E24" i="1"/>
  <c r="F24" i="1"/>
  <c r="D24" i="1"/>
  <c r="L24" i="1"/>
  <c r="K24" i="1"/>
  <c r="J24" i="1"/>
  <c r="M24" i="1" s="1"/>
  <c r="M23" i="1"/>
  <c r="G23" i="1"/>
  <c r="N23" i="1" s="1"/>
  <c r="P19" i="1"/>
  <c r="R19" i="1" s="1"/>
  <c r="P20" i="1" l="1"/>
  <c r="R20" i="1" s="1"/>
  <c r="G24" i="1"/>
  <c r="N24" i="1" s="1"/>
  <c r="L25" i="1"/>
  <c r="A26" i="1"/>
  <c r="K25" i="1"/>
  <c r="J25" i="1"/>
  <c r="F25" i="1"/>
  <c r="E25" i="1"/>
  <c r="D25" i="1"/>
  <c r="G25" i="1" s="1"/>
  <c r="O18" i="1"/>
  <c r="S18" i="1" s="1"/>
  <c r="T17" i="1"/>
  <c r="P21" i="1" l="1"/>
  <c r="R21" i="1" s="1"/>
  <c r="Q18" i="1"/>
  <c r="M25" i="1"/>
  <c r="K26" i="1"/>
  <c r="J26" i="1"/>
  <c r="E26" i="1"/>
  <c r="A27" i="1"/>
  <c r="F26" i="1"/>
  <c r="D26" i="1"/>
  <c r="G26" i="1" s="1"/>
  <c r="L26" i="1"/>
  <c r="N25" i="1"/>
  <c r="P22" i="1" l="1"/>
  <c r="R22" i="1"/>
  <c r="M26" i="1"/>
  <c r="N26" i="1" s="1"/>
  <c r="E27" i="1"/>
  <c r="D27" i="1"/>
  <c r="J27" i="1"/>
  <c r="M27" i="1" s="1"/>
  <c r="L27" i="1"/>
  <c r="K27" i="1"/>
  <c r="A28" i="1"/>
  <c r="F27" i="1"/>
  <c r="T18" i="1"/>
  <c r="O19" i="1"/>
  <c r="S19" i="1" s="1"/>
  <c r="Q19" i="1" l="1"/>
  <c r="G27" i="1"/>
  <c r="N27" i="1" s="1"/>
  <c r="L28" i="1"/>
  <c r="K28" i="1"/>
  <c r="J28" i="1"/>
  <c r="M28" i="1" s="1"/>
  <c r="A29" i="1"/>
  <c r="F28" i="1"/>
  <c r="E28" i="1"/>
  <c r="D28" i="1"/>
  <c r="G28" i="1" s="1"/>
  <c r="N28" i="1" s="1"/>
  <c r="P23" i="1"/>
  <c r="R23" i="1" s="1"/>
  <c r="R24" i="1" l="1"/>
  <c r="P24" i="1"/>
  <c r="A30" i="1"/>
  <c r="F29" i="1"/>
  <c r="E29" i="1"/>
  <c r="D29" i="1"/>
  <c r="G29" i="1" s="1"/>
  <c r="L29" i="1"/>
  <c r="K29" i="1"/>
  <c r="J29" i="1"/>
  <c r="M29" i="1" s="1"/>
  <c r="O20" i="1"/>
  <c r="S20" i="1" s="1"/>
  <c r="T19" i="1"/>
  <c r="N29" i="1" l="1"/>
  <c r="Q20" i="1"/>
  <c r="K30" i="1"/>
  <c r="J30" i="1"/>
  <c r="L30" i="1"/>
  <c r="F30" i="1"/>
  <c r="A31" i="1"/>
  <c r="E30" i="1"/>
  <c r="D30" i="1"/>
  <c r="G30" i="1" s="1"/>
  <c r="P25" i="1"/>
  <c r="R25" i="1"/>
  <c r="P26" i="1" l="1"/>
  <c r="R26" i="1"/>
  <c r="M30" i="1"/>
  <c r="N30" i="1" s="1"/>
  <c r="E31" i="1"/>
  <c r="A32" i="1"/>
  <c r="D31" i="1"/>
  <c r="G31" i="1" s="1"/>
  <c r="N31" i="1" s="1"/>
  <c r="F31" i="1"/>
  <c r="L31" i="1"/>
  <c r="K31" i="1"/>
  <c r="J31" i="1"/>
  <c r="M31" i="1" s="1"/>
  <c r="O21" i="1"/>
  <c r="S21" i="1" s="1"/>
  <c r="Q21" i="1"/>
  <c r="T20" i="1"/>
  <c r="L32" i="1" l="1"/>
  <c r="K32" i="1"/>
  <c r="J32" i="1"/>
  <c r="F32" i="1"/>
  <c r="A33" i="1"/>
  <c r="E32" i="1"/>
  <c r="D32" i="1"/>
  <c r="P27" i="1"/>
  <c r="R27" i="1" s="1"/>
  <c r="O22" i="1"/>
  <c r="Q22" i="1" s="1"/>
  <c r="T21" i="1"/>
  <c r="S22" i="1"/>
  <c r="O23" i="1" l="1"/>
  <c r="T22" i="1"/>
  <c r="Q23" i="1"/>
  <c r="P28" i="1"/>
  <c r="R28" i="1" s="1"/>
  <c r="G32" i="1"/>
  <c r="K33" i="1"/>
  <c r="J33" i="1"/>
  <c r="E33" i="1"/>
  <c r="A34" i="1"/>
  <c r="F33" i="1"/>
  <c r="D33" i="1"/>
  <c r="G33" i="1" s="1"/>
  <c r="L33" i="1"/>
  <c r="M32" i="1"/>
  <c r="S23" i="1"/>
  <c r="P29" i="1" l="1"/>
  <c r="R29" i="1" s="1"/>
  <c r="E34" i="1"/>
  <c r="D34" i="1"/>
  <c r="J34" i="1"/>
  <c r="L34" i="1"/>
  <c r="K34" i="1"/>
  <c r="F34" i="1"/>
  <c r="C6" i="1"/>
  <c r="C7" i="1" s="1"/>
  <c r="M33" i="1"/>
  <c r="N33" i="1" s="1"/>
  <c r="T23" i="1"/>
  <c r="O24" i="1"/>
  <c r="S24" i="1" s="1"/>
  <c r="N32" i="1"/>
  <c r="P30" i="1" l="1"/>
  <c r="R30" i="1" s="1"/>
  <c r="Q24" i="1"/>
  <c r="M34" i="1"/>
  <c r="G34" i="1"/>
  <c r="N34" i="1" s="1"/>
  <c r="P31" i="1" l="1"/>
  <c r="R31" i="1" s="1"/>
  <c r="O25" i="1"/>
  <c r="S25" i="1" s="1"/>
  <c r="T24" i="1"/>
  <c r="P32" i="1" l="1"/>
  <c r="R32" i="1"/>
  <c r="Q25" i="1"/>
  <c r="O26" i="1" l="1"/>
  <c r="S26" i="1" s="1"/>
  <c r="Q26" i="1"/>
  <c r="T25" i="1"/>
  <c r="P33" i="1"/>
  <c r="R33" i="1"/>
  <c r="P34" i="1" l="1"/>
  <c r="R34" i="1" s="1"/>
  <c r="O27" i="1"/>
  <c r="Q27" i="1" s="1"/>
  <c r="T26" i="1"/>
  <c r="S27" i="1"/>
  <c r="T27" i="1" l="1"/>
  <c r="O28" i="1"/>
  <c r="Q28" i="1" s="1"/>
  <c r="S28" i="1"/>
  <c r="O29" i="1" l="1"/>
  <c r="Q29" i="1" s="1"/>
  <c r="T28" i="1"/>
  <c r="S29" i="1"/>
  <c r="O30" i="1" l="1"/>
  <c r="Q30" i="1" s="1"/>
  <c r="T29" i="1"/>
  <c r="O31" i="1" l="1"/>
  <c r="Q31" i="1" s="1"/>
  <c r="S30" i="1"/>
  <c r="O32" i="1" l="1"/>
  <c r="Q32" i="1" s="1"/>
  <c r="S31" i="1"/>
  <c r="S32" i="1" s="1"/>
  <c r="T30" i="1"/>
  <c r="O33" i="1" l="1"/>
  <c r="Q33" i="1" s="1"/>
  <c r="T32" i="1"/>
  <c r="S33" i="1"/>
  <c r="T31" i="1"/>
  <c r="O34" i="1" l="1"/>
  <c r="Q34" i="1" s="1"/>
  <c r="T33" i="1"/>
  <c r="S34" i="1" l="1"/>
  <c r="T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Modell</author>
  </authors>
  <commentList>
    <comment ref="C5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Berechnet nach § 39b i. V. m. § 32a EStG (Tarif 2026), Steuerklasse I, ohne Kinderfreibetrag,
inkl. Vorsorgepauschale. Bitte mit der echten Gehaltsabrechnung abgleichen und ggf. ueberschreiben.</t>
        </r>
      </text>
    </comment>
    <comment ref="C5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Steuerklasse VI nach § 39b Abs. 2 Satz 7 EStG: zweifache Differenz zwischen dem Steuerbetrag fuer das
1,25-fache und das 0,75-fache des zu versteuernden Jahresbetrags, mit den Grenzen 14.071 / 34.939 EUR.
Ergibt 10.567 EUR pro Jahr auf 44.110 EUR Jahresbrutto.</t>
        </r>
      </text>
    </comment>
  </commentList>
</comments>
</file>

<file path=xl/sharedStrings.xml><?xml version="1.0" encoding="utf-8"?>
<sst xmlns="http://schemas.openxmlformats.org/spreadsheetml/2006/main" count="244" uniqueCount="181">
  <si>
    <t>Finanzplanung Theo &amp; Jule</t>
  </si>
  <si>
    <t>Monatsübersicht über Einkünfte, Kosten und die Entwicklung der drei Konten. Alles rechnet sich aus den Blättern „Monatlich“, „Einmalig“ und „Annahmen“ – auf diesem Blatt bitte nichts überschreiben.</t>
  </si>
  <si>
    <t>Sparziel</t>
  </si>
  <si>
    <t>Netto Haushalt / Monat</t>
  </si>
  <si>
    <t>Zielmonat</t>
  </si>
  <si>
    <t>Ausgaben / Monat (1. Monat)</t>
  </si>
  <si>
    <t>Gesamtvermögen im Zielmonat</t>
  </si>
  <si>
    <t>Sparrate / Monat (1. Monat)</t>
  </si>
  <si>
    <t>Status</t>
  </si>
  <si>
    <t>Einnahmen</t>
  </si>
  <si>
    <t>Ausgaben</t>
  </si>
  <si>
    <t>Verteilung</t>
  </si>
  <si>
    <t>Kontostände</t>
  </si>
  <si>
    <t>Monat</t>
  </si>
  <si>
    <t>Netto Theo</t>
  </si>
  <si>
    <t>Netto Jule</t>
  </si>
  <si>
    <t>Sonstige Theo</t>
  </si>
  <si>
    <t>Sonstige Jule</t>
  </si>
  <si>
    <t>Sonstige Gemeinsam</t>
  </si>
  <si>
    <t>Einnahmen gesamt</t>
  </si>
  <si>
    <t>Budget Theo</t>
  </si>
  <si>
    <t>Budget Jule</t>
  </si>
  <si>
    <t>Weitere Theo</t>
  </si>
  <si>
    <t>Weitere Jule</t>
  </si>
  <si>
    <t>Kosten Gemeinsam</t>
  </si>
  <si>
    <t>Ausgaben gesamt</t>
  </si>
  <si>
    <t>Überschuss</t>
  </si>
  <si>
    <t>→ Gemeinsam von Theo</t>
  </si>
  <si>
    <t>→ Gemeinsam von Jule</t>
  </si>
  <si>
    <t>Konto Theo</t>
  </si>
  <si>
    <t>Konto Jule</t>
  </si>
  <si>
    <t>Konto Gemeinsam</t>
  </si>
  <si>
    <t>Gesamtvermögen</t>
  </si>
  <si>
    <t>Lesehilfe: „Budget Theo/Jule“ ist das persönliche Geld, das auf dem Privatkonto bleibt und dort ausgegeben wird. „→ Gemeinsam“ ist der Betrag, der vom Privatkonto auf das gemeinsame Konto geht – er fließt erst, wenn das Privatkonto den in den Annahmen gesetzten Zielsaldo erreicht hat. Deshalb wird Theos Minus zuerst ausgeglichen.</t>
  </si>
  <si>
    <t>Annahmen &amp; Parameter</t>
  </si>
  <si>
    <t>Alle blau/gelb hinterlegten Zellen sind Eingaben – hier darfst du rechnen und aendern. Schwarze Werte sind Formeln. Stand der Steuer- und SV-Werte: 2026.</t>
  </si>
  <si>
    <t>1 · Planung</t>
  </si>
  <si>
    <t>Planungsstart (erster Monat)</t>
  </si>
  <si>
    <t>Das Monatsraster im Blatt „Übersicht“ ist auf 24 Monate ausgelegt.</t>
  </si>
  <si>
    <t>Planungshorizont (Monate)</t>
  </si>
  <si>
    <t>Angabe von dir: 35.000 € bis Juli 2027.</t>
  </si>
  <si>
    <t>Zielmonat für das Sparziel</t>
  </si>
  <si>
    <t>2 · Startsalden (Stand heute)</t>
  </si>
  <si>
    <t>Angaben von dir.</t>
  </si>
  <si>
    <t>Summe</t>
  </si>
  <si>
    <t>3 · Kontoregel: was auf den Privatkonten bleibt</t>
  </si>
  <si>
    <t>Persönliches Budget Theo / Monat</t>
  </si>
  <si>
    <t>Persönliches Budget Jule / Monat</t>
  </si>
  <si>
    <t>Zielsaldo Privatkonto Theo</t>
  </si>
  <si>
    <t>Zielsaldo Privatkonto Jule</t>
  </si>
  <si>
    <t>Regel im Modell: Gehalt geht auf das jeweilige Privatkonto. Davon bleibt das persönliche Budget stehen (wird ausgegeben); der Rest wird auf „Gemeinsam“ überwiesen – aber erst, wenn das Privatkonto den Zielsaldo erreicht hat. Theos −4.000 € werden dadurch automatisch zuerst ausgeglichen.</t>
  </si>
  <si>
    <t>4 · Sozialversicherung 2026 – Arbeitnehmeranteile</t>
  </si>
  <si>
    <t>Beitrag</t>
  </si>
  <si>
    <t>Satz</t>
  </si>
  <si>
    <t>Hinweis</t>
  </si>
  <si>
    <t>Krankenversicherung</t>
  </si>
  <si>
    <t>7,30 % + halber Zusatzbeitrag (Ø 2,90 % in 2026)</t>
  </si>
  <si>
    <t>Pflegeversicherung</t>
  </si>
  <si>
    <t>1,80 % + 0,60 % Zuschlag für Kinderlose ab 23</t>
  </si>
  <si>
    <t>Rentenversicherung</t>
  </si>
  <si>
    <t>halber Beitragssatz von 18,60 %</t>
  </si>
  <si>
    <t>Arbeitslosenversicherung</t>
  </si>
  <si>
    <t>halber Beitragssatz von 2,60 %</t>
  </si>
  <si>
    <t>Beitragsbemessungsgrenze KV/PV (Monat)</t>
  </si>
  <si>
    <t>69.750 € pro Jahr</t>
  </si>
  <si>
    <t>Beitragsbemessungsgrenze RV/AV (Monat)</t>
  </si>
  <si>
    <t>101.400 € pro Jahr</t>
  </si>
  <si>
    <t>5 · Bruttogehälter</t>
  </si>
  <si>
    <t>TV-AVH Entgeltgruppe 13, Stufe 1 (Vollzeit / Monat)</t>
  </si>
  <si>
    <t>Tabelle TV-AVH, gültig ab 01.05.2026. Stufe im Vertrag nicht genannt – bitte in der Abrechnung prüfen (Referenztabelle unten).</t>
  </si>
  <si>
    <t>Teilzeitquote laut Arbeitsvertrag</t>
  </si>
  <si>
    <t>§ 3 des DESY-Vertrags: Teilzeit mit 75 v. H.</t>
  </si>
  <si>
    <t>Theo · Hauptjob</t>
  </si>
  <si>
    <t>Theo · DESY (Promotion)</t>
  </si>
  <si>
    <t>Jule</t>
  </si>
  <si>
    <t>Steuerklasse</t>
  </si>
  <si>
    <t>I</t>
  </si>
  <si>
    <t>VI</t>
  </si>
  <si>
    <t>Zweitjob wird zwingend nach Steuerklasse VI abgerechnet.</t>
  </si>
  <si>
    <t>Monatsbrutto</t>
  </si>
  <si>
    <t>Jahresbrutto</t>
  </si>
  <si>
    <t>Angaben von dir: 50.000 € bzw. 48.000 €. DESY ergibt sich aus Tarif × Quote.</t>
  </si>
  <si>
    <t>6 · Vom Brutto zum Netto (pro Monat)</t>
  </si>
  <si>
    <t>Theo (beide Jobs)</t>
  </si>
  <si>
    <t>Bruttogehalt gesamt</t>
  </si>
  <si>
    <t xml:space="preserve">    Bemessungsgrundlage KV / PV</t>
  </si>
  <si>
    <t>Bei zwei Jobs zählt das Gesamtbrutto – die Beitragsbemessungsgrenze wirkt nur einmal (§ 22 SGB IV). Das spart Theo rund 226 € im Monat.</t>
  </si>
  <si>
    <t xml:space="preserve">    Bemessungsgrundlage RV / AV</t>
  </si>
  <si>
    <t>− Krankenversicherung</t>
  </si>
  <si>
    <t>− Pflegeversicherung</t>
  </si>
  <si>
    <t>− Rentenversicherung</t>
  </si>
  <si>
    <t>− Arbeitslosenversicherung</t>
  </si>
  <si>
    <t>− Lohnsteuer Hauptjob (StKl I)</t>
  </si>
  <si>
    <t>Schätzung nach Steuertarif 2026 – bitte mit der Abrechnung abgleichen.</t>
  </si>
  <si>
    <t>− Lohnsteuer Nebenjob (StKl VI)</t>
  </si>
  <si>
    <t>− Solidaritätszuschlag</t>
  </si>
  <si>
    <t>Freigrenze wird beim monatlichen Abzug nicht überschritten.</t>
  </si>
  <si>
    <t>− Kirchensteuer</t>
  </si>
  <si>
    <t>Annahme: keine Kirchensteuer. Falls doch, hier 9 % der Lohnsteuer eintragen.</t>
  </si>
  <si>
    <t>Netto Haushalt pro Monat</t>
  </si>
  <si>
    <t>7 · Referenz: TV-AVH Entgeltgruppe 13, gültig ab 01.05.2026 (Vollzeit / Monat)</t>
  </si>
  <si>
    <t>Stufe 1</t>
  </si>
  <si>
    <t>Stufe 2</t>
  </si>
  <si>
    <t>Stufe 3</t>
  </si>
  <si>
    <t>Stufe 4</t>
  </si>
  <si>
    <t>Stufe 5</t>
  </si>
  <si>
    <t>Stufe 6</t>
  </si>
  <si>
    <t>Entgeltgruppe 13</t>
  </si>
  <si>
    <t>Quelle: Arbeitsrechtliche Vereinigung Hamburg e. V., Anlage A zum TV-AVH, Fassung ÄTV Nr. 22 vom 06.04.2025, Tabelle gültig ab 01.05.2026. 75 % davon ergibt Theos DESY-Brutto.</t>
  </si>
  <si>
    <t>8 · Hinweise, Annahmen und Quellen</t>
  </si>
  <si>
    <t>•  Arbeitsvertrag DESY (gelesen): Beginn 16.03.2026, befristet bis 15.03.2029 nach WissZeitVG, Tätigkeit Doktorand:in in Hamburg, Teilzeit 75 v. H., Entgeltgruppe 13 TV-AVH, sechs Monate Probezeit.</t>
  </si>
  <si>
    <t>•  Die Stufe innerhalb der Entgeltgruppe steht nicht im Vertrag. Das Modell rechnet mit Stufe 1 – der übliche Einstieg. Steht in deiner Abrechnung eine andere Stufe, oben den Vollzeitbetrag austauschen.</t>
  </si>
  <si>
    <t>•  Theos Zweitjob läuft zwingend in Steuerklasse VI. Deshalb bleibt vom DESY-Brutto deutlich weniger übrig, als eine einfache Netto-Rechnung vermuten lässt.</t>
  </si>
  <si>
    <t>•  Weil beide Jobs zusammen über der Beitragsbemessungsgrenze der Kranken- und Pflegeversicherung liegen, werden KV und PV nur bis 5.812,50 € berechnet. Falls ein Arbeitgeber das nicht berücksichtigt, holst du die zu viel gezahlten Beiträge über einen Erstattungsantrag bei der Krankenkasse zurück.</t>
  </si>
  <si>
    <t>•  Steuernachzahlung: Steuerklasse I + VI führen zusammen zu weniger Abzug, als die Jahressteuer verlangt. Überschlägig fehlen bei vollem Jahr rund 3.700 € – als Einmalposten im Blatt „Einmalig“ hinterlegt.</t>
  </si>
  <si>
    <t>•  Der Founder Secondary ist dort brutto eingetragen. Die Steuer darauf hängt an der Struktur: bei mindestens 1 % Beteiligung Teileinkünfteverfahren nach § 17 EStG, sonst Abgeltungsteuer. Beides landet grob bei einem Viertel des Gewinns – als eigener Posten hinterlegt und unbedingt mit dem Steuerberater zu prüfen.</t>
  </si>
  <si>
    <t>•  Steuer- und Sozialversicherungswerte 2026: Grundfreibetrag 12.348 €, Tarif nach § 32a EStG in der ab 2026 geltenden Fassung, durchschnittlicher Zusatzbeitrag 2,9 %, Pflegeversicherung 3,6 % plus 0,6 % für Kinderlose.</t>
  </si>
  <si>
    <t>•  Nicht enthalten: Kirchensteuer, Kinderfreibeträge, vermögenswirksame Leistungen, betriebliche Altersvorsorge über den Tarifvertrag hinaus, Zinsen auf Guthaben und Dispozinsen.</t>
  </si>
  <si>
    <t>Monatliche Posten</t>
  </si>
  <si>
    <t>Jede Zeile ist ein wiederkehrender Posten. „Aktiv = Nein“ schaltet ihn aus, ohne ihn zu löschen. „Von“ leer = ab Planungsstart, „Bis“ leer = unbefristet. Die grauen Spalten J und K rechnen intern und sollten nicht überschrieben werden.</t>
  </si>
  <si>
    <t>Aktiv</t>
  </si>
  <si>
    <t>Bezeichnung</t>
  </si>
  <si>
    <t>Kategorie</t>
  </si>
  <si>
    <t>Typ</t>
  </si>
  <si>
    <t>Betrag / Monat</t>
  </si>
  <si>
    <t>Von (Monat)</t>
  </si>
  <si>
    <t>Bis (Monat)</t>
  </si>
  <si>
    <t>Konto</t>
  </si>
  <si>
    <t>Notiz</t>
  </si>
  <si>
    <t>Von·intern</t>
  </si>
  <si>
    <t>Bis·intern</t>
  </si>
  <si>
    <t>Ja</t>
  </si>
  <si>
    <t>Miete Wohnung</t>
  </si>
  <si>
    <t>Wohnen</t>
  </si>
  <si>
    <t>Ausgabe</t>
  </si>
  <si>
    <t>Gemeinsam</t>
  </si>
  <si>
    <t>Angabe von dir: 1.000 € pro Monat.</t>
  </si>
  <si>
    <t>Haushalt (Lebensmittel, Strom, Internet, Alltag)</t>
  </si>
  <si>
    <t>Haushalt</t>
  </si>
  <si>
    <t>Angabe von dir: rund 1.500 € pro Monat.</t>
  </si>
  <si>
    <t>Nein</t>
  </si>
  <si>
    <t>Versicherungen</t>
  </si>
  <si>
    <t>Versicherung</t>
  </si>
  <si>
    <t>Beispielzeile – Betrag eintragen und auf „Ja“ stellen.</t>
  </si>
  <si>
    <t>Mobilfunk &amp; Abos</t>
  </si>
  <si>
    <t>Abos</t>
  </si>
  <si>
    <t>Beispielzeile.</t>
  </si>
  <si>
    <t>Mobilität (Auto, Deutschlandticket)</t>
  </si>
  <si>
    <t>Mobilität</t>
  </si>
  <si>
    <t>Einkommensteuer-Vorauszahlung Theo</t>
  </si>
  <si>
    <t>Steuern</t>
  </si>
  <si>
    <t>Sehr wahrscheinlich setzt das Finanzamt nach dem ersten Bescheid Vorauszahlungen fest. Dann hier aktivieren und den Einmalposten entsprechend kürzen.</t>
  </si>
  <si>
    <t>Zusatzeinkommen / Nebentätigkeit</t>
  </si>
  <si>
    <t>Einkommen</t>
  </si>
  <si>
    <t>Einnahme</t>
  </si>
  <si>
    <t>Theo</t>
  </si>
  <si>
    <t>Beispielzeile für wiederkehrende Einnahmen.</t>
  </si>
  <si>
    <t>Einmalzahlungen</t>
  </si>
  <si>
    <t>Einzelne Zahlungen, die genau in einem Monat anfallen – Hochzeit, Urlaub, Bonus, Steuerbescheid. „Aktiv = Nein“ schaltet den Posten aus. Spalte I rechnet intern.</t>
  </si>
  <si>
    <t>Betrag</t>
  </si>
  <si>
    <t>Monat·intern</t>
  </si>
  <si>
    <t>Founder Secondary (neuer Investor)</t>
  </si>
  <si>
    <t>Beteiligung</t>
  </si>
  <si>
    <t>Angabe von dir: 50.000 €, in etwa vier Wochen. Hier als Bruttoerlös – Steuer siehe nächste Zeile.</t>
  </si>
  <si>
    <t>Steuer auf Founder Secondary (Schätzung)</t>
  </si>
  <si>
    <t>Rund 26 % Annahme (Teileinkünfteverfahren § 17 EStG bzw. Abgeltungsteuer), gerechnet auf 50.000 € Gewinn. Steuerlich ist das Theos Sache, bezahlt wird es aber vom gemeinsamen Konto. Höhe und Fälligkeit unbedingt mit dem Steuerberater klären – auch wegen möglicher Vorauszahlungen.</t>
  </si>
  <si>
    <t>Steuernachzahlung 2026 (zwei Jobs, StKl VI)</t>
  </si>
  <si>
    <t>Schätzung. Der Lohnsteuerabzug aus StKl I + VI liegt unter der Jahressteuer; für 2026 zählt DESY erst ab Mitte März. Bei vollem Jahr sind es rund 3.700 € – für 2027 also entsprechend mehr.</t>
  </si>
  <si>
    <t>Jahressonderzahlung DESY 2026 (netto, Schätzung)</t>
  </si>
  <si>
    <t>Gehalt</t>
  </si>
  <si>
    <t>TV-AVH sieht eine Jahressonderzahlung im November vor; in E13 fällt der Bemessungssatz niedrig aus. Angesetzt: rund ein halbes Monatsbrutto, netto in StKl VI. Bitte prüfen.</t>
  </si>
  <si>
    <t>Jahressonderzahlung DESY 2027 (netto, Schätzung)</t>
  </si>
  <si>
    <t>Wie Vorjahr.</t>
  </si>
  <si>
    <t>Hochzeit</t>
  </si>
  <si>
    <t>Familie</t>
  </si>
  <si>
    <t>Beispielzeile mit Platzhalterbetrag – Betrag und Monat anpassen, dann auf „Ja“ stellen.</t>
  </si>
  <si>
    <t>Geldgeschenke Hochzeit</t>
  </si>
  <si>
    <t>Urlaub</t>
  </si>
  <si>
    <t>Reisen</t>
  </si>
  <si>
    <t>Größere Anschaffung (Möbel, Technik)</t>
  </si>
  <si>
    <t>Anschaffung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</si>
</sst>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5" formatCode="mmm\ yyyy"/>
    <numFmt numFmtId="166" formatCode="#,##0\ &quot;€&quot;"/>
    <numFmt numFmtId="167" formatCode="#,##0.00\ &quot;€&quot;"/>
    <numFmt numFmtId="168" formatCode="0\ %"/>
  </numFmts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0"/>
      <color rgb="FFFFFFFF"/>
      <name val="Arial"/>
    </font>
    <font>
      <sz val="9"/>
      <color rgb="FF595959"/>
      <name val="Arial"/>
    </font>
    <font>
      <sz val="10"/>
      <color rgb="FF008000"/>
      <name val="Arial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2F5597"/>
      </patternFill>
    </fill>
    <fill>
      <patternFill patternType="solid">
        <fgColor rgb="FFA6A6A6"/>
      </patternFill>
    </fill>
    <fill>
      <patternFill patternType="solid">
        <fgColor rgb="FFDDEBF7"/>
      </patternFill>
    </fill>
    <fill>
      <patternFill patternType="solid">
        <fgColor rgb="FF8EAADB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6" fillId="7" borderId="1" xfId="0" applyFont="1" applyFill="1" applyBorder="1"/>
    <xf numFmtId="0" fontId="0" fillId="7" borderId="1" xfId="0" applyFill="1" applyBorder="1"/>
    <xf numFmtId="6" fontId="9" fillId="7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6" fontId="4" fillId="7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5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6" fontId="6" fillId="4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6" fontId="9" fillId="9" borderId="1" xfId="0" applyNumberFormat="1" applyFont="1" applyFill="1" applyBorder="1" applyAlignment="1">
      <alignment horizontal="center" vertical="center"/>
    </xf>
    <xf numFmtId="6" fontId="4" fillId="9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167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10" fontId="5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8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8" fillId="0" borderId="1" xfId="0" applyFont="1" applyBorder="1"/>
    <xf numFmtId="167" fontId="8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165" fontId="8" fillId="0" borderId="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0" xfId="0"/>
    <xf numFmtId="0" fontId="6" fillId="7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6">
    <dxf>
      <font>
        <i/>
        <sz val="10"/>
        <color rgb="FFA6A6A6"/>
        <name val="Arial"/>
      </font>
    </dxf>
    <dxf>
      <font>
        <i/>
        <sz val="10"/>
        <color rgb="FFA6A6A6"/>
        <name val="Arial"/>
      </font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Entwicklung der Konten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Übersicht!$Q$10</c:f>
              <c:strCache>
                <c:ptCount val="1"/>
                <c:pt idx="0">
                  <c:v>Konto Theo</c:v>
                </c:pt>
              </c:strCache>
            </c:strRef>
          </c:tx>
          <c:spPr>
            <a:ln w="18000">
              <a:prstDash val="solid"/>
            </a:ln>
          </c:spPr>
          <c:marker>
            <c:symbol val="none"/>
          </c:marker>
          <c:cat>
            <c:numRef>
              <c:f>Übersicht!$A$11:$A$34</c:f>
              <c:numCache>
                <c:formatCode>mmm\ yyyy</c:formatCode>
                <c:ptCount val="24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</c:numCache>
            </c:numRef>
          </c:cat>
          <c:val>
            <c:numRef>
              <c:f>Übersicht!$Q$11:$Q$34</c:f>
              <c:numCache>
                <c:formatCode>"€"#,##0_);[Red]\("€"#,##0\)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B-8346-A3E8-97548D9E8F34}"/>
            </c:ext>
          </c:extLst>
        </c:ser>
        <c:ser>
          <c:idx val="1"/>
          <c:order val="1"/>
          <c:tx>
            <c:strRef>
              <c:f>Übersicht!$R$10</c:f>
              <c:strCache>
                <c:ptCount val="1"/>
                <c:pt idx="0">
                  <c:v>Konto Jule</c:v>
                </c:pt>
              </c:strCache>
            </c:strRef>
          </c:tx>
          <c:spPr>
            <a:ln w="18000">
              <a:prstDash val="solid"/>
            </a:ln>
          </c:spPr>
          <c:marker>
            <c:symbol val="none"/>
          </c:marker>
          <c:cat>
            <c:numRef>
              <c:f>Übersicht!$A$11:$A$34</c:f>
              <c:numCache>
                <c:formatCode>mmm\ yyyy</c:formatCode>
                <c:ptCount val="24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</c:numCache>
            </c:numRef>
          </c:cat>
          <c:val>
            <c:numRef>
              <c:f>Übersicht!$R$11:$R$34</c:f>
              <c:numCache>
                <c:formatCode>"€"#,##0_);[Red]\("€"#,##0\)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B-8346-A3E8-97548D9E8F34}"/>
            </c:ext>
          </c:extLst>
        </c:ser>
        <c:ser>
          <c:idx val="2"/>
          <c:order val="2"/>
          <c:tx>
            <c:strRef>
              <c:f>Übersicht!$S$10</c:f>
              <c:strCache>
                <c:ptCount val="1"/>
                <c:pt idx="0">
                  <c:v>Konto Gemeinsam</c:v>
                </c:pt>
              </c:strCache>
            </c:strRef>
          </c:tx>
          <c:spPr>
            <a:ln w="18000">
              <a:prstDash val="solid"/>
            </a:ln>
          </c:spPr>
          <c:marker>
            <c:symbol val="none"/>
          </c:marker>
          <c:cat>
            <c:numRef>
              <c:f>Übersicht!$A$11:$A$34</c:f>
              <c:numCache>
                <c:formatCode>mmm\ yyyy</c:formatCode>
                <c:ptCount val="24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</c:numCache>
            </c:numRef>
          </c:cat>
          <c:val>
            <c:numRef>
              <c:f>Übersicht!$S$11:$S$34</c:f>
              <c:numCache>
                <c:formatCode>"€"#,##0_);[Red]\("€"#,##0\)</c:formatCode>
                <c:ptCount val="24"/>
                <c:pt idx="0">
                  <c:v>50022.320504999996</c:v>
                </c:pt>
                <c:pt idx="1">
                  <c:v>53544.641009999992</c:v>
                </c:pt>
                <c:pt idx="2">
                  <c:v>57966.961514999988</c:v>
                </c:pt>
                <c:pt idx="3">
                  <c:v>61489.282019999984</c:v>
                </c:pt>
                <c:pt idx="4">
                  <c:v>65011.602524999995</c:v>
                </c:pt>
                <c:pt idx="5">
                  <c:v>68533.923030000005</c:v>
                </c:pt>
                <c:pt idx="6">
                  <c:v>72056.243535000016</c:v>
                </c:pt>
                <c:pt idx="7">
                  <c:v>75578.564040000027</c:v>
                </c:pt>
                <c:pt idx="8">
                  <c:v>79100.884545000037</c:v>
                </c:pt>
                <c:pt idx="9">
                  <c:v>82623.205050000048</c:v>
                </c:pt>
                <c:pt idx="10">
                  <c:v>86145.525555000058</c:v>
                </c:pt>
                <c:pt idx="11">
                  <c:v>89667.846060000069</c:v>
                </c:pt>
                <c:pt idx="12">
                  <c:v>93190.16656500008</c:v>
                </c:pt>
                <c:pt idx="13">
                  <c:v>96712.48707000009</c:v>
                </c:pt>
                <c:pt idx="14">
                  <c:v>85134.807575000101</c:v>
                </c:pt>
                <c:pt idx="15">
                  <c:v>88657.128080000111</c:v>
                </c:pt>
                <c:pt idx="16">
                  <c:v>92179.448585000122</c:v>
                </c:pt>
                <c:pt idx="17">
                  <c:v>95701.769090000133</c:v>
                </c:pt>
                <c:pt idx="18">
                  <c:v>99224.089595000143</c:v>
                </c:pt>
                <c:pt idx="19">
                  <c:v>102746.41010000015</c:v>
                </c:pt>
                <c:pt idx="20">
                  <c:v>106268.73060500016</c:v>
                </c:pt>
                <c:pt idx="21">
                  <c:v>109791.05111000017</c:v>
                </c:pt>
                <c:pt idx="22">
                  <c:v>113313.37161500019</c:v>
                </c:pt>
                <c:pt idx="23">
                  <c:v>116835.6921200002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EB-8346-A3E8-97548D9E8F34}"/>
            </c:ext>
          </c:extLst>
        </c:ser>
        <c:ser>
          <c:idx val="3"/>
          <c:order val="3"/>
          <c:tx>
            <c:strRef>
              <c:f>Übersicht!$T$10</c:f>
              <c:strCache>
                <c:ptCount val="1"/>
                <c:pt idx="0">
                  <c:v>Gesamtvermögen</c:v>
                </c:pt>
              </c:strCache>
            </c:strRef>
          </c:tx>
          <c:spPr>
            <a:ln w="28000">
              <a:prstDash val="solid"/>
            </a:ln>
          </c:spPr>
          <c:marker>
            <c:symbol val="none"/>
          </c:marker>
          <c:cat>
            <c:numRef>
              <c:f>Übersicht!$A$11:$A$34</c:f>
              <c:numCache>
                <c:formatCode>mmm\ yyyy</c:formatCode>
                <c:ptCount val="24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</c:numCache>
            </c:numRef>
          </c:cat>
          <c:val>
            <c:numRef>
              <c:f>Übersicht!$T$11:$T$34</c:f>
              <c:numCache>
                <c:formatCode>"€"#,##0_);[Red]\("€"#,##0\)</c:formatCode>
                <c:ptCount val="24"/>
                <c:pt idx="0">
                  <c:v>50022.320504999996</c:v>
                </c:pt>
                <c:pt idx="1">
                  <c:v>53544.641009999992</c:v>
                </c:pt>
                <c:pt idx="2">
                  <c:v>57966.961514999988</c:v>
                </c:pt>
                <c:pt idx="3">
                  <c:v>61489.282019999984</c:v>
                </c:pt>
                <c:pt idx="4">
                  <c:v>65011.602524999995</c:v>
                </c:pt>
                <c:pt idx="5">
                  <c:v>68533.923030000005</c:v>
                </c:pt>
                <c:pt idx="6">
                  <c:v>72056.243535000016</c:v>
                </c:pt>
                <c:pt idx="7">
                  <c:v>75578.564040000027</c:v>
                </c:pt>
                <c:pt idx="8">
                  <c:v>79100.884545000037</c:v>
                </c:pt>
                <c:pt idx="9">
                  <c:v>82623.205050000048</c:v>
                </c:pt>
                <c:pt idx="10">
                  <c:v>86145.525555000058</c:v>
                </c:pt>
                <c:pt idx="11">
                  <c:v>89667.846060000069</c:v>
                </c:pt>
                <c:pt idx="12">
                  <c:v>93190.16656500008</c:v>
                </c:pt>
                <c:pt idx="13">
                  <c:v>96712.48707000009</c:v>
                </c:pt>
                <c:pt idx="14">
                  <c:v>85134.807575000101</c:v>
                </c:pt>
                <c:pt idx="15">
                  <c:v>88657.128080000111</c:v>
                </c:pt>
                <c:pt idx="16">
                  <c:v>92179.448585000122</c:v>
                </c:pt>
                <c:pt idx="17">
                  <c:v>95701.769090000133</c:v>
                </c:pt>
                <c:pt idx="18">
                  <c:v>99224.089595000143</c:v>
                </c:pt>
                <c:pt idx="19">
                  <c:v>102746.41010000015</c:v>
                </c:pt>
                <c:pt idx="20">
                  <c:v>106268.73060500016</c:v>
                </c:pt>
                <c:pt idx="21">
                  <c:v>109791.05111000017</c:v>
                </c:pt>
                <c:pt idx="22">
                  <c:v>113313.37161500019</c:v>
                </c:pt>
                <c:pt idx="23">
                  <c:v>116835.6921200002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EB-8346-A3E8-97548D9E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108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T36"/>
  <sheetViews>
    <sheetView showGridLines="0" workbookViewId="0">
      <pane xSplit="1" ySplit="10" topLeftCell="B12" activePane="bottomRight" state="frozen"/>
      <selection pane="topRight"/>
      <selection pane="bottomLeft"/>
      <selection pane="bottomRight" activeCell="I5" sqref="I5"/>
    </sheetView>
  </sheetViews>
  <sheetFormatPr baseColWidth="10" defaultColWidth="8.83203125" defaultRowHeight="15" x14ac:dyDescent="0.2"/>
  <cols>
    <col min="1" max="1" width="12" customWidth="1"/>
    <col min="2" max="3" width="13" customWidth="1"/>
    <col min="4" max="5" width="12" customWidth="1"/>
    <col min="6" max="6" width="13" customWidth="1"/>
    <col min="7" max="7" width="14" customWidth="1"/>
    <col min="8" max="11" width="12" customWidth="1"/>
    <col min="12" max="12" width="13" customWidth="1"/>
    <col min="13" max="13" width="14" customWidth="1"/>
    <col min="14" max="14" width="13" customWidth="1"/>
    <col min="15" max="19" width="14" customWidth="1"/>
    <col min="20" max="20" width="16" customWidth="1"/>
  </cols>
  <sheetData>
    <row r="1" spans="1:20" ht="20" x14ac:dyDescent="0.2">
      <c r="A1" s="1" t="s">
        <v>0</v>
      </c>
    </row>
    <row r="2" spans="1:20" x14ac:dyDescent="0.2">
      <c r="A2" s="45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4" spans="1:20" x14ac:dyDescent="0.2">
      <c r="A4" s="2" t="s">
        <v>2</v>
      </c>
      <c r="B4" s="3"/>
      <c r="C4" s="4">
        <f>Annahmen!C7</f>
        <v>35000</v>
      </c>
      <c r="D4" s="3"/>
      <c r="E4" s="2" t="s">
        <v>3</v>
      </c>
      <c r="F4" s="3"/>
      <c r="G4" s="4">
        <f>Annahmen!C55+Annahmen!D55</f>
        <v>7522.3205049999997</v>
      </c>
    </row>
    <row r="5" spans="1:20" x14ac:dyDescent="0.2">
      <c r="A5" s="2" t="s">
        <v>4</v>
      </c>
      <c r="B5" s="3"/>
      <c r="C5" s="5">
        <f>Annahmen!C8</f>
        <v>46569</v>
      </c>
      <c r="D5" s="3"/>
      <c r="E5" s="2" t="s">
        <v>5</v>
      </c>
      <c r="F5" s="3"/>
      <c r="G5" s="6">
        <f>$M$11</f>
        <v>4000</v>
      </c>
    </row>
    <row r="6" spans="1:20" x14ac:dyDescent="0.2">
      <c r="A6" s="2" t="s">
        <v>6</v>
      </c>
      <c r="B6" s="3"/>
      <c r="C6" s="6">
        <f>IFERROR(INDEX($T$11:$T$34,MATCH($C$5,$A$11:$A$34,0)),"außerhalb des Zeitraums")</f>
        <v>86145.525555000058</v>
      </c>
      <c r="D6" s="3"/>
      <c r="E6" s="2" t="s">
        <v>7</v>
      </c>
      <c r="F6" s="3"/>
      <c r="G6" s="6">
        <f>$N$11</f>
        <v>53522.320504999996</v>
      </c>
    </row>
    <row r="7" spans="1:20" x14ac:dyDescent="0.2">
      <c r="A7" s="2" t="s">
        <v>8</v>
      </c>
      <c r="B7" s="3"/>
      <c r="C7" s="43" t="str">
        <f>IF(ISNUMBER($C$6),IF($C$6&gt;=$C$4,"Ziel erreicht – Puffer "&amp;TEXT($C$6-$C$4,"#,##0")&amp;" €","Es fehlen "&amp;TEXT($C$4-$C$6,"#,##0")&amp;" €"),"–")</f>
        <v>Ziel erreicht – Puffer 51145,526 €</v>
      </c>
      <c r="D7" s="44"/>
      <c r="E7" s="44"/>
      <c r="F7" s="44"/>
      <c r="G7" s="3"/>
    </row>
    <row r="9" spans="1:20" ht="18" customHeight="1" x14ac:dyDescent="0.2">
      <c r="A9" s="7"/>
      <c r="B9" s="41" t="s">
        <v>9</v>
      </c>
      <c r="C9" s="42"/>
      <c r="D9" s="42"/>
      <c r="E9" s="42"/>
      <c r="F9" s="42"/>
      <c r="G9" s="42"/>
      <c r="H9" s="41" t="s">
        <v>10</v>
      </c>
      <c r="I9" s="42"/>
      <c r="J9" s="42"/>
      <c r="K9" s="42"/>
      <c r="L9" s="42"/>
      <c r="M9" s="42"/>
      <c r="N9" s="41" t="s">
        <v>11</v>
      </c>
      <c r="O9" s="42"/>
      <c r="P9" s="42"/>
      <c r="Q9" s="41" t="s">
        <v>12</v>
      </c>
      <c r="R9" s="42"/>
      <c r="S9" s="42"/>
      <c r="T9" s="42"/>
    </row>
    <row r="10" spans="1:20" ht="34" customHeight="1" x14ac:dyDescent="0.2">
      <c r="A10" s="8" t="s">
        <v>13</v>
      </c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 t="s">
        <v>27</v>
      </c>
      <c r="P10" s="8" t="s">
        <v>28</v>
      </c>
      <c r="Q10" s="8" t="s">
        <v>29</v>
      </c>
      <c r="R10" s="8" t="s">
        <v>30</v>
      </c>
      <c r="S10" s="8" t="s">
        <v>31</v>
      </c>
      <c r="T10" s="8" t="s">
        <v>32</v>
      </c>
    </row>
    <row r="11" spans="1:20" x14ac:dyDescent="0.2">
      <c r="A11" s="9">
        <f>Annahmen!C5</f>
        <v>46266</v>
      </c>
      <c r="B11" s="10">
        <f>Annahmen!C55</f>
        <v>4916.8605049999996</v>
      </c>
      <c r="C11" s="10">
        <f>Annahmen!D55</f>
        <v>2605.46</v>
      </c>
      <c r="D11" s="11">
        <f>SUMIFS(Monatlich!$E$4:$E$63,Monatlich!$A$4:$A$63,"Ja",Monatlich!$H$4:$H$63,"Theo",Monatlich!$D$4:$D$63,"Einnahme",Monatlich!$J$4:$J$63,"&lt;="&amp;$A11,Monatlich!$K$4:$K$63,"&gt;="&amp;$A11)+SUMIFS(Einmalig!$E$4:$E$43,Einmalig!$A$4:$A$43,"Ja",Einmalig!$G$4:$G$43,"Theo",Einmalig!$D$4:$D$43,"Einnahme",Einmalig!$I$4:$I$43,$A11)</f>
        <v>50000</v>
      </c>
      <c r="E11" s="11">
        <f>SUMIFS(Monatlich!$E$4:$E$63,Monatlich!$A$4:$A$63,"Ja",Monatlich!$H$4:$H$63,"Jule",Monatlich!$D$4:$D$63,"Einnahme",Monatlich!$J$4:$J$63,"&lt;="&amp;$A11,Monatlich!$K$4:$K$63,"&gt;="&amp;$A11)+SUMIFS(Einmalig!$E$4:$E$43,Einmalig!$A$4:$A$43,"Ja",Einmalig!$G$4:$G$43,"Jule",Einmalig!$D$4:$D$43,"Einnahme",Einmalig!$I$4:$I$43,$A11)</f>
        <v>0</v>
      </c>
      <c r="F11" s="11">
        <f>SUMIFS(Monatlich!$E$4:$E$63,Monatlich!$A$4:$A$63,"Ja",Monatlich!$H$4:$H$63,"Gemeinsam",Monatlich!$D$4:$D$63,"Einnahme",Monatlich!$J$4:$J$63,"&lt;="&amp;$A11,Monatlich!$K$4:$K$63,"&gt;="&amp;$A11)+SUMIFS(Einmalig!$E$4:$E$43,Einmalig!$A$4:$A$43,"Ja",Einmalig!$G$4:$G$43,"Gemeinsam",Einmalig!$D$4:$D$43,"Einnahme",Einmalig!$I$4:$I$43,$A11)</f>
        <v>0</v>
      </c>
      <c r="G11" s="12">
        <f t="shared" ref="G11:G34" si="0">SUM(B11:F11)</f>
        <v>57522.320504999996</v>
      </c>
      <c r="H11" s="10">
        <f>Annahmen!C17</f>
        <v>750</v>
      </c>
      <c r="I11" s="10">
        <f>Annahmen!C18</f>
        <v>750</v>
      </c>
      <c r="J11" s="11">
        <f>SUMIFS(Monatlich!$E$4:$E$63,Monatlich!$A$4:$A$63,"Ja",Monatlich!$H$4:$H$63,"Theo",Monatlich!$D$4:$D$63,"Ausgabe",Monatlich!$J$4:$J$63,"&lt;="&amp;$A11,Monatlich!$K$4:$K$63,"&gt;="&amp;$A11)+SUMIFS(Einmalig!$E$4:$E$43,Einmalig!$A$4:$A$43,"Ja",Einmalig!$G$4:$G$43,"Theo",Einmalig!$D$4:$D$43,"Ausgabe",Einmalig!$I$4:$I$43,$A11)</f>
        <v>0</v>
      </c>
      <c r="K11" s="11">
        <f>SUMIFS(Monatlich!$E$4:$E$63,Monatlich!$A$4:$A$63,"Ja",Monatlich!$H$4:$H$63,"Jule",Monatlich!$D$4:$D$63,"Ausgabe",Monatlich!$J$4:$J$63,"&lt;="&amp;$A11,Monatlich!$K$4:$K$63,"&gt;="&amp;$A11)+SUMIFS(Einmalig!$E$4:$E$43,Einmalig!$A$4:$A$43,"Ja",Einmalig!$G$4:$G$43,"Jule",Einmalig!$D$4:$D$43,"Ausgabe",Einmalig!$I$4:$I$43,$A11)</f>
        <v>0</v>
      </c>
      <c r="L11" s="11">
        <f>SUMIFS(Monatlich!$E$4:$E$63,Monatlich!$A$4:$A$63,"Ja",Monatlich!$H$4:$H$63,"Gemeinsam",Monatlich!$D$4:$D$63,"Ausgabe",Monatlich!$J$4:$J$63,"&lt;="&amp;$A11,Monatlich!$K$4:$K$63,"&gt;="&amp;$A11)+SUMIFS(Einmalig!$E$4:$E$43,Einmalig!$A$4:$A$43,"Ja",Einmalig!$G$4:$G$43,"Gemeinsam",Einmalig!$D$4:$D$43,"Ausgabe",Einmalig!$I$4:$I$43,$A11)</f>
        <v>2500</v>
      </c>
      <c r="M11" s="12">
        <f t="shared" ref="M11:M34" si="1">SUM(H11:L11)</f>
        <v>4000</v>
      </c>
      <c r="N11" s="12">
        <f t="shared" ref="N11:N34" si="2">G11-M11</f>
        <v>53522.320504999996</v>
      </c>
      <c r="O11" s="11">
        <f>MAX(0,(Annahmen!C11+B11+D11-H11-J11)-Annahmen!C19)</f>
        <v>50166.860504999997</v>
      </c>
      <c r="P11" s="11">
        <f>MAX(0,(Annahmen!C12+C11+E11-I11-K11)-Annahmen!C20)</f>
        <v>2355.46</v>
      </c>
      <c r="Q11" s="11">
        <f>(Annahmen!C11+B11+D11-H11-J11)-O11</f>
        <v>0</v>
      </c>
      <c r="R11" s="11">
        <f>(Annahmen!C12+C11+E11-I11-K11)-P11</f>
        <v>0</v>
      </c>
      <c r="S11" s="11">
        <f>Annahmen!C13+O11+P11+F11-L11</f>
        <v>50022.320504999996</v>
      </c>
      <c r="T11" s="12">
        <f t="shared" ref="T11:T34" si="3">Q11+R11+S11</f>
        <v>50022.320504999996</v>
      </c>
    </row>
    <row r="12" spans="1:20" x14ac:dyDescent="0.2">
      <c r="A12" s="13">
        <f t="shared" ref="A12:A34" si="4">DATE(YEAR(A11),MONTH(A11)+1,1)</f>
        <v>46296</v>
      </c>
      <c r="B12" s="14">
        <f>Annahmen!C55</f>
        <v>4916.8605049999996</v>
      </c>
      <c r="C12" s="14">
        <f>Annahmen!D55</f>
        <v>2605.46</v>
      </c>
      <c r="D12" s="15">
        <f>SUMIFS(Monatlich!$E$4:$E$63,Monatlich!$A$4:$A$63,"Ja",Monatlich!$H$4:$H$63,"Theo",Monatlich!$D$4:$D$63,"Einnahme",Monatlich!$J$4:$J$63,"&lt;="&amp;$A12,Monatlich!$K$4:$K$63,"&gt;="&amp;$A12)+SUMIFS(Einmalig!$E$4:$E$43,Einmalig!$A$4:$A$43,"Ja",Einmalig!$G$4:$G$43,"Theo",Einmalig!$D$4:$D$43,"Einnahme",Einmalig!$I$4:$I$43,$A12)</f>
        <v>0</v>
      </c>
      <c r="E12" s="15">
        <f>SUMIFS(Monatlich!$E$4:$E$63,Monatlich!$A$4:$A$63,"Ja",Monatlich!$H$4:$H$63,"Jule",Monatlich!$D$4:$D$63,"Einnahme",Monatlich!$J$4:$J$63,"&lt;="&amp;$A12,Monatlich!$K$4:$K$63,"&gt;="&amp;$A12)+SUMIFS(Einmalig!$E$4:$E$43,Einmalig!$A$4:$A$43,"Ja",Einmalig!$G$4:$G$43,"Jule",Einmalig!$D$4:$D$43,"Einnahme",Einmalig!$I$4:$I$43,$A12)</f>
        <v>0</v>
      </c>
      <c r="F12" s="15">
        <f>SUMIFS(Monatlich!$E$4:$E$63,Monatlich!$A$4:$A$63,"Ja",Monatlich!$H$4:$H$63,"Gemeinsam",Monatlich!$D$4:$D$63,"Einnahme",Monatlich!$J$4:$J$63,"&lt;="&amp;$A12,Monatlich!$K$4:$K$63,"&gt;="&amp;$A12)+SUMIFS(Einmalig!$E$4:$E$43,Einmalig!$A$4:$A$43,"Ja",Einmalig!$G$4:$G$43,"Gemeinsam",Einmalig!$D$4:$D$43,"Einnahme",Einmalig!$I$4:$I$43,$A12)</f>
        <v>0</v>
      </c>
      <c r="G12" s="12">
        <f t="shared" si="0"/>
        <v>7522.3205049999997</v>
      </c>
      <c r="H12" s="14">
        <f>Annahmen!C17</f>
        <v>750</v>
      </c>
      <c r="I12" s="14">
        <f>Annahmen!C18</f>
        <v>750</v>
      </c>
      <c r="J12" s="15">
        <f>SUMIFS(Monatlich!$E$4:$E$63,Monatlich!$A$4:$A$63,"Ja",Monatlich!$H$4:$H$63,"Theo",Monatlich!$D$4:$D$63,"Ausgabe",Monatlich!$J$4:$J$63,"&lt;="&amp;$A12,Monatlich!$K$4:$K$63,"&gt;="&amp;$A12)+SUMIFS(Einmalig!$E$4:$E$43,Einmalig!$A$4:$A$43,"Ja",Einmalig!$G$4:$G$43,"Theo",Einmalig!$D$4:$D$43,"Ausgabe",Einmalig!$I$4:$I$43,$A12)</f>
        <v>0</v>
      </c>
      <c r="K12" s="15">
        <f>SUMIFS(Monatlich!$E$4:$E$63,Monatlich!$A$4:$A$63,"Ja",Monatlich!$H$4:$H$63,"Jule",Monatlich!$D$4:$D$63,"Ausgabe",Monatlich!$J$4:$J$63,"&lt;="&amp;$A12,Monatlich!$K$4:$K$63,"&gt;="&amp;$A12)+SUMIFS(Einmalig!$E$4:$E$43,Einmalig!$A$4:$A$43,"Ja",Einmalig!$G$4:$G$43,"Jule",Einmalig!$D$4:$D$43,"Ausgabe",Einmalig!$I$4:$I$43,$A12)</f>
        <v>0</v>
      </c>
      <c r="L12" s="15">
        <f>SUMIFS(Monatlich!$E$4:$E$63,Monatlich!$A$4:$A$63,"Ja",Monatlich!$H$4:$H$63,"Gemeinsam",Monatlich!$D$4:$D$63,"Ausgabe",Monatlich!$J$4:$J$63,"&lt;="&amp;$A12,Monatlich!$K$4:$K$63,"&gt;="&amp;$A12)+SUMIFS(Einmalig!$E$4:$E$43,Einmalig!$A$4:$A$43,"Ja",Einmalig!$G$4:$G$43,"Gemeinsam",Einmalig!$D$4:$D$43,"Ausgabe",Einmalig!$I$4:$I$43,$A12)</f>
        <v>2500</v>
      </c>
      <c r="M12" s="12">
        <f t="shared" si="1"/>
        <v>4000</v>
      </c>
      <c r="N12" s="12">
        <f t="shared" si="2"/>
        <v>3522.3205049999997</v>
      </c>
      <c r="O12" s="15">
        <f>MAX(0,(Q11+B12+D12-H12-J12)-Annahmen!C19)</f>
        <v>4166.8605049999996</v>
      </c>
      <c r="P12" s="15">
        <f>MAX(0,(R11+C12+E12-I12-K12)-Annahmen!C20)</f>
        <v>1855.46</v>
      </c>
      <c r="Q12" s="15">
        <f t="shared" ref="Q12:Q34" si="5">(Q11+B12+D12-H12-J12)-O12</f>
        <v>0</v>
      </c>
      <c r="R12" s="15">
        <f t="shared" ref="R12:R34" si="6">(R11+C12+E12-I12-K12)-P12</f>
        <v>0</v>
      </c>
      <c r="S12" s="15">
        <f t="shared" ref="S12:S34" si="7">S11+O12+P12+F12-L12</f>
        <v>53544.641009999992</v>
      </c>
      <c r="T12" s="12">
        <f t="shared" si="3"/>
        <v>53544.641009999992</v>
      </c>
    </row>
    <row r="13" spans="1:20" x14ac:dyDescent="0.2">
      <c r="A13" s="16">
        <f t="shared" si="4"/>
        <v>46327</v>
      </c>
      <c r="B13" s="10">
        <f>Annahmen!C55</f>
        <v>4916.8605049999996</v>
      </c>
      <c r="C13" s="10">
        <f>Annahmen!D55</f>
        <v>2605.46</v>
      </c>
      <c r="D13" s="11">
        <f>SUMIFS(Monatlich!$E$4:$E$63,Monatlich!$A$4:$A$63,"Ja",Monatlich!$H$4:$H$63,"Theo",Monatlich!$D$4:$D$63,"Einnahme",Monatlich!$J$4:$J$63,"&lt;="&amp;$A13,Monatlich!$K$4:$K$63,"&gt;="&amp;$A13)+SUMIFS(Einmalig!$E$4:$E$43,Einmalig!$A$4:$A$43,"Ja",Einmalig!$G$4:$G$43,"Theo",Einmalig!$D$4:$D$43,"Einnahme",Einmalig!$I$4:$I$43,$A13)</f>
        <v>900</v>
      </c>
      <c r="E13" s="11">
        <f>SUMIFS(Monatlich!$E$4:$E$63,Monatlich!$A$4:$A$63,"Ja",Monatlich!$H$4:$H$63,"Jule",Monatlich!$D$4:$D$63,"Einnahme",Monatlich!$J$4:$J$63,"&lt;="&amp;$A13,Monatlich!$K$4:$K$63,"&gt;="&amp;$A13)+SUMIFS(Einmalig!$E$4:$E$43,Einmalig!$A$4:$A$43,"Ja",Einmalig!$G$4:$G$43,"Jule",Einmalig!$D$4:$D$43,"Einnahme",Einmalig!$I$4:$I$43,$A13)</f>
        <v>0</v>
      </c>
      <c r="F13" s="11">
        <f>SUMIFS(Monatlich!$E$4:$E$63,Monatlich!$A$4:$A$63,"Ja",Monatlich!$H$4:$H$63,"Gemeinsam",Monatlich!$D$4:$D$63,"Einnahme",Monatlich!$J$4:$J$63,"&lt;="&amp;$A13,Monatlich!$K$4:$K$63,"&gt;="&amp;$A13)+SUMIFS(Einmalig!$E$4:$E$43,Einmalig!$A$4:$A$43,"Ja",Einmalig!$G$4:$G$43,"Gemeinsam",Einmalig!$D$4:$D$43,"Einnahme",Einmalig!$I$4:$I$43,$A13)</f>
        <v>0</v>
      </c>
      <c r="G13" s="12">
        <f t="shared" si="0"/>
        <v>8422.3205049999997</v>
      </c>
      <c r="H13" s="10">
        <f>Annahmen!C17</f>
        <v>750</v>
      </c>
      <c r="I13" s="10">
        <f>Annahmen!C18</f>
        <v>750</v>
      </c>
      <c r="J13" s="11">
        <f>SUMIFS(Monatlich!$E$4:$E$63,Monatlich!$A$4:$A$63,"Ja",Monatlich!$H$4:$H$63,"Theo",Monatlich!$D$4:$D$63,"Ausgabe",Monatlich!$J$4:$J$63,"&lt;="&amp;$A13,Monatlich!$K$4:$K$63,"&gt;="&amp;$A13)+SUMIFS(Einmalig!$E$4:$E$43,Einmalig!$A$4:$A$43,"Ja",Einmalig!$G$4:$G$43,"Theo",Einmalig!$D$4:$D$43,"Ausgabe",Einmalig!$I$4:$I$43,$A13)</f>
        <v>0</v>
      </c>
      <c r="K13" s="11">
        <f>SUMIFS(Monatlich!$E$4:$E$63,Monatlich!$A$4:$A$63,"Ja",Monatlich!$H$4:$H$63,"Jule",Monatlich!$D$4:$D$63,"Ausgabe",Monatlich!$J$4:$J$63,"&lt;="&amp;$A13,Monatlich!$K$4:$K$63,"&gt;="&amp;$A13)+SUMIFS(Einmalig!$E$4:$E$43,Einmalig!$A$4:$A$43,"Ja",Einmalig!$G$4:$G$43,"Jule",Einmalig!$D$4:$D$43,"Ausgabe",Einmalig!$I$4:$I$43,$A13)</f>
        <v>0</v>
      </c>
      <c r="L13" s="11">
        <f>SUMIFS(Monatlich!$E$4:$E$63,Monatlich!$A$4:$A$63,"Ja",Monatlich!$H$4:$H$63,"Gemeinsam",Monatlich!$D$4:$D$63,"Ausgabe",Monatlich!$J$4:$J$63,"&lt;="&amp;$A13,Monatlich!$K$4:$K$63,"&gt;="&amp;$A13)+SUMIFS(Einmalig!$E$4:$E$43,Einmalig!$A$4:$A$43,"Ja",Einmalig!$G$4:$G$43,"Gemeinsam",Einmalig!$D$4:$D$43,"Ausgabe",Einmalig!$I$4:$I$43,$A13)</f>
        <v>2500</v>
      </c>
      <c r="M13" s="12">
        <f t="shared" si="1"/>
        <v>4000</v>
      </c>
      <c r="N13" s="12">
        <f t="shared" si="2"/>
        <v>4422.3205049999997</v>
      </c>
      <c r="O13" s="11">
        <f>MAX(0,(Q12+B13+D13-H13-J13)-Annahmen!C19)</f>
        <v>5066.8605049999996</v>
      </c>
      <c r="P13" s="11">
        <f>MAX(0,(R12+C13+E13-I13-K13)-Annahmen!C20)</f>
        <v>1855.46</v>
      </c>
      <c r="Q13" s="11">
        <f t="shared" si="5"/>
        <v>0</v>
      </c>
      <c r="R13" s="11">
        <f t="shared" si="6"/>
        <v>0</v>
      </c>
      <c r="S13" s="11">
        <f t="shared" si="7"/>
        <v>57966.961514999988</v>
      </c>
      <c r="T13" s="12">
        <f t="shared" si="3"/>
        <v>57966.961514999988</v>
      </c>
    </row>
    <row r="14" spans="1:20" x14ac:dyDescent="0.2">
      <c r="A14" s="13">
        <f t="shared" si="4"/>
        <v>46357</v>
      </c>
      <c r="B14" s="14">
        <f>Annahmen!C55</f>
        <v>4916.8605049999996</v>
      </c>
      <c r="C14" s="14">
        <f>Annahmen!D55</f>
        <v>2605.46</v>
      </c>
      <c r="D14" s="15">
        <f>SUMIFS(Monatlich!$E$4:$E$63,Monatlich!$A$4:$A$63,"Ja",Monatlich!$H$4:$H$63,"Theo",Monatlich!$D$4:$D$63,"Einnahme",Monatlich!$J$4:$J$63,"&lt;="&amp;$A14,Monatlich!$K$4:$K$63,"&gt;="&amp;$A14)+SUMIFS(Einmalig!$E$4:$E$43,Einmalig!$A$4:$A$43,"Ja",Einmalig!$G$4:$G$43,"Theo",Einmalig!$D$4:$D$43,"Einnahme",Einmalig!$I$4:$I$43,$A14)</f>
        <v>0</v>
      </c>
      <c r="E14" s="15">
        <f>SUMIFS(Monatlich!$E$4:$E$63,Monatlich!$A$4:$A$63,"Ja",Monatlich!$H$4:$H$63,"Jule",Monatlich!$D$4:$D$63,"Einnahme",Monatlich!$J$4:$J$63,"&lt;="&amp;$A14,Monatlich!$K$4:$K$63,"&gt;="&amp;$A14)+SUMIFS(Einmalig!$E$4:$E$43,Einmalig!$A$4:$A$43,"Ja",Einmalig!$G$4:$G$43,"Jule",Einmalig!$D$4:$D$43,"Einnahme",Einmalig!$I$4:$I$43,$A14)</f>
        <v>0</v>
      </c>
      <c r="F14" s="15">
        <f>SUMIFS(Monatlich!$E$4:$E$63,Monatlich!$A$4:$A$63,"Ja",Monatlich!$H$4:$H$63,"Gemeinsam",Monatlich!$D$4:$D$63,"Einnahme",Monatlich!$J$4:$J$63,"&lt;="&amp;$A14,Monatlich!$K$4:$K$63,"&gt;="&amp;$A14)+SUMIFS(Einmalig!$E$4:$E$43,Einmalig!$A$4:$A$43,"Ja",Einmalig!$G$4:$G$43,"Gemeinsam",Einmalig!$D$4:$D$43,"Einnahme",Einmalig!$I$4:$I$43,$A14)</f>
        <v>0</v>
      </c>
      <c r="G14" s="12">
        <f t="shared" si="0"/>
        <v>7522.3205049999997</v>
      </c>
      <c r="H14" s="14">
        <f>Annahmen!C17</f>
        <v>750</v>
      </c>
      <c r="I14" s="14">
        <f>Annahmen!C18</f>
        <v>750</v>
      </c>
      <c r="J14" s="15">
        <f>SUMIFS(Monatlich!$E$4:$E$63,Monatlich!$A$4:$A$63,"Ja",Monatlich!$H$4:$H$63,"Theo",Monatlich!$D$4:$D$63,"Ausgabe",Monatlich!$J$4:$J$63,"&lt;="&amp;$A14,Monatlich!$K$4:$K$63,"&gt;="&amp;$A14)+SUMIFS(Einmalig!$E$4:$E$43,Einmalig!$A$4:$A$43,"Ja",Einmalig!$G$4:$G$43,"Theo",Einmalig!$D$4:$D$43,"Ausgabe",Einmalig!$I$4:$I$43,$A14)</f>
        <v>0</v>
      </c>
      <c r="K14" s="15">
        <f>SUMIFS(Monatlich!$E$4:$E$63,Monatlich!$A$4:$A$63,"Ja",Monatlich!$H$4:$H$63,"Jule",Monatlich!$D$4:$D$63,"Ausgabe",Monatlich!$J$4:$J$63,"&lt;="&amp;$A14,Monatlich!$K$4:$K$63,"&gt;="&amp;$A14)+SUMIFS(Einmalig!$E$4:$E$43,Einmalig!$A$4:$A$43,"Ja",Einmalig!$G$4:$G$43,"Jule",Einmalig!$D$4:$D$43,"Ausgabe",Einmalig!$I$4:$I$43,$A14)</f>
        <v>0</v>
      </c>
      <c r="L14" s="15">
        <f>SUMIFS(Monatlich!$E$4:$E$63,Monatlich!$A$4:$A$63,"Ja",Monatlich!$H$4:$H$63,"Gemeinsam",Monatlich!$D$4:$D$63,"Ausgabe",Monatlich!$J$4:$J$63,"&lt;="&amp;$A14,Monatlich!$K$4:$K$63,"&gt;="&amp;$A14)+SUMIFS(Einmalig!$E$4:$E$43,Einmalig!$A$4:$A$43,"Ja",Einmalig!$G$4:$G$43,"Gemeinsam",Einmalig!$D$4:$D$43,"Ausgabe",Einmalig!$I$4:$I$43,$A14)</f>
        <v>2500</v>
      </c>
      <c r="M14" s="12">
        <f t="shared" si="1"/>
        <v>4000</v>
      </c>
      <c r="N14" s="12">
        <f t="shared" si="2"/>
        <v>3522.3205049999997</v>
      </c>
      <c r="O14" s="15">
        <f>MAX(0,(Q13+B14+D14-H14-J14)-Annahmen!C19)</f>
        <v>4166.8605049999996</v>
      </c>
      <c r="P14" s="15">
        <f>MAX(0,(R13+C14+E14-I14-K14)-Annahmen!C20)</f>
        <v>1855.46</v>
      </c>
      <c r="Q14" s="15">
        <f t="shared" si="5"/>
        <v>0</v>
      </c>
      <c r="R14" s="15">
        <f t="shared" si="6"/>
        <v>0</v>
      </c>
      <c r="S14" s="15">
        <f t="shared" si="7"/>
        <v>61489.282019999984</v>
      </c>
      <c r="T14" s="12">
        <f t="shared" si="3"/>
        <v>61489.282019999984</v>
      </c>
    </row>
    <row r="15" spans="1:20" x14ac:dyDescent="0.2">
      <c r="A15" s="16">
        <f t="shared" si="4"/>
        <v>46388</v>
      </c>
      <c r="B15" s="10">
        <f>Annahmen!C55</f>
        <v>4916.8605049999996</v>
      </c>
      <c r="C15" s="10">
        <f>Annahmen!D55</f>
        <v>2605.46</v>
      </c>
      <c r="D15" s="11">
        <f>SUMIFS(Monatlich!$E$4:$E$63,Monatlich!$A$4:$A$63,"Ja",Monatlich!$H$4:$H$63,"Theo",Monatlich!$D$4:$D$63,"Einnahme",Monatlich!$J$4:$J$63,"&lt;="&amp;$A15,Monatlich!$K$4:$K$63,"&gt;="&amp;$A15)+SUMIFS(Einmalig!$E$4:$E$43,Einmalig!$A$4:$A$43,"Ja",Einmalig!$G$4:$G$43,"Theo",Einmalig!$D$4:$D$43,"Einnahme",Einmalig!$I$4:$I$43,$A15)</f>
        <v>0</v>
      </c>
      <c r="E15" s="11">
        <f>SUMIFS(Monatlich!$E$4:$E$63,Monatlich!$A$4:$A$63,"Ja",Monatlich!$H$4:$H$63,"Jule",Monatlich!$D$4:$D$63,"Einnahme",Monatlich!$J$4:$J$63,"&lt;="&amp;$A15,Monatlich!$K$4:$K$63,"&gt;="&amp;$A15)+SUMIFS(Einmalig!$E$4:$E$43,Einmalig!$A$4:$A$43,"Ja",Einmalig!$G$4:$G$43,"Jule",Einmalig!$D$4:$D$43,"Einnahme",Einmalig!$I$4:$I$43,$A15)</f>
        <v>0</v>
      </c>
      <c r="F15" s="11">
        <f>SUMIFS(Monatlich!$E$4:$E$63,Monatlich!$A$4:$A$63,"Ja",Monatlich!$H$4:$H$63,"Gemeinsam",Monatlich!$D$4:$D$63,"Einnahme",Monatlich!$J$4:$J$63,"&lt;="&amp;$A15,Monatlich!$K$4:$K$63,"&gt;="&amp;$A15)+SUMIFS(Einmalig!$E$4:$E$43,Einmalig!$A$4:$A$43,"Ja",Einmalig!$G$4:$G$43,"Gemeinsam",Einmalig!$D$4:$D$43,"Einnahme",Einmalig!$I$4:$I$43,$A15)</f>
        <v>0</v>
      </c>
      <c r="G15" s="12">
        <f t="shared" si="0"/>
        <v>7522.3205049999997</v>
      </c>
      <c r="H15" s="10">
        <f>Annahmen!C17</f>
        <v>750</v>
      </c>
      <c r="I15" s="10">
        <f>Annahmen!C18</f>
        <v>750</v>
      </c>
      <c r="J15" s="11">
        <f>SUMIFS(Monatlich!$E$4:$E$63,Monatlich!$A$4:$A$63,"Ja",Monatlich!$H$4:$H$63,"Theo",Monatlich!$D$4:$D$63,"Ausgabe",Monatlich!$J$4:$J$63,"&lt;="&amp;$A15,Monatlich!$K$4:$K$63,"&gt;="&amp;$A15)+SUMIFS(Einmalig!$E$4:$E$43,Einmalig!$A$4:$A$43,"Ja",Einmalig!$G$4:$G$43,"Theo",Einmalig!$D$4:$D$43,"Ausgabe",Einmalig!$I$4:$I$43,$A15)</f>
        <v>0</v>
      </c>
      <c r="K15" s="11">
        <f>SUMIFS(Monatlich!$E$4:$E$63,Monatlich!$A$4:$A$63,"Ja",Monatlich!$H$4:$H$63,"Jule",Monatlich!$D$4:$D$63,"Ausgabe",Monatlich!$J$4:$J$63,"&lt;="&amp;$A15,Monatlich!$K$4:$K$63,"&gt;="&amp;$A15)+SUMIFS(Einmalig!$E$4:$E$43,Einmalig!$A$4:$A$43,"Ja",Einmalig!$G$4:$G$43,"Jule",Einmalig!$D$4:$D$43,"Ausgabe",Einmalig!$I$4:$I$43,$A15)</f>
        <v>0</v>
      </c>
      <c r="L15" s="11">
        <f>SUMIFS(Monatlich!$E$4:$E$63,Monatlich!$A$4:$A$63,"Ja",Monatlich!$H$4:$H$63,"Gemeinsam",Monatlich!$D$4:$D$63,"Ausgabe",Monatlich!$J$4:$J$63,"&lt;="&amp;$A15,Monatlich!$K$4:$K$63,"&gt;="&amp;$A15)+SUMIFS(Einmalig!$E$4:$E$43,Einmalig!$A$4:$A$43,"Ja",Einmalig!$G$4:$G$43,"Gemeinsam",Einmalig!$D$4:$D$43,"Ausgabe",Einmalig!$I$4:$I$43,$A15)</f>
        <v>2500</v>
      </c>
      <c r="M15" s="12">
        <f t="shared" si="1"/>
        <v>4000</v>
      </c>
      <c r="N15" s="12">
        <f t="shared" si="2"/>
        <v>3522.3205049999997</v>
      </c>
      <c r="O15" s="11">
        <f>MAX(0,(Q14+B15+D15-H15-J15)-Annahmen!C19)</f>
        <v>4166.8605049999996</v>
      </c>
      <c r="P15" s="11">
        <f>MAX(0,(R14+C15+E15-I15-K15)-Annahmen!C20)</f>
        <v>1855.46</v>
      </c>
      <c r="Q15" s="11">
        <f t="shared" si="5"/>
        <v>0</v>
      </c>
      <c r="R15" s="11">
        <f t="shared" si="6"/>
        <v>0</v>
      </c>
      <c r="S15" s="11">
        <f t="shared" si="7"/>
        <v>65011.602524999995</v>
      </c>
      <c r="T15" s="12">
        <f t="shared" si="3"/>
        <v>65011.602524999995</v>
      </c>
    </row>
    <row r="16" spans="1:20" x14ac:dyDescent="0.2">
      <c r="A16" s="13">
        <f t="shared" si="4"/>
        <v>46419</v>
      </c>
      <c r="B16" s="14">
        <f>Annahmen!C55</f>
        <v>4916.8605049999996</v>
      </c>
      <c r="C16" s="14">
        <f>Annahmen!D55</f>
        <v>2605.46</v>
      </c>
      <c r="D16" s="15">
        <f>SUMIFS(Monatlich!$E$4:$E$63,Monatlich!$A$4:$A$63,"Ja",Monatlich!$H$4:$H$63,"Theo",Monatlich!$D$4:$D$63,"Einnahme",Monatlich!$J$4:$J$63,"&lt;="&amp;$A16,Monatlich!$K$4:$K$63,"&gt;="&amp;$A16)+SUMIFS(Einmalig!$E$4:$E$43,Einmalig!$A$4:$A$43,"Ja",Einmalig!$G$4:$G$43,"Theo",Einmalig!$D$4:$D$43,"Einnahme",Einmalig!$I$4:$I$43,$A16)</f>
        <v>0</v>
      </c>
      <c r="E16" s="15">
        <f>SUMIFS(Monatlich!$E$4:$E$63,Monatlich!$A$4:$A$63,"Ja",Monatlich!$H$4:$H$63,"Jule",Monatlich!$D$4:$D$63,"Einnahme",Monatlich!$J$4:$J$63,"&lt;="&amp;$A16,Monatlich!$K$4:$K$63,"&gt;="&amp;$A16)+SUMIFS(Einmalig!$E$4:$E$43,Einmalig!$A$4:$A$43,"Ja",Einmalig!$G$4:$G$43,"Jule",Einmalig!$D$4:$D$43,"Einnahme",Einmalig!$I$4:$I$43,$A16)</f>
        <v>0</v>
      </c>
      <c r="F16" s="15">
        <f>SUMIFS(Monatlich!$E$4:$E$63,Monatlich!$A$4:$A$63,"Ja",Monatlich!$H$4:$H$63,"Gemeinsam",Monatlich!$D$4:$D$63,"Einnahme",Monatlich!$J$4:$J$63,"&lt;="&amp;$A16,Monatlich!$K$4:$K$63,"&gt;="&amp;$A16)+SUMIFS(Einmalig!$E$4:$E$43,Einmalig!$A$4:$A$43,"Ja",Einmalig!$G$4:$G$43,"Gemeinsam",Einmalig!$D$4:$D$43,"Einnahme",Einmalig!$I$4:$I$43,$A16)</f>
        <v>0</v>
      </c>
      <c r="G16" s="12">
        <f t="shared" si="0"/>
        <v>7522.3205049999997</v>
      </c>
      <c r="H16" s="14">
        <f>Annahmen!C17</f>
        <v>750</v>
      </c>
      <c r="I16" s="14">
        <f>Annahmen!C18</f>
        <v>750</v>
      </c>
      <c r="J16" s="15">
        <f>SUMIFS(Monatlich!$E$4:$E$63,Monatlich!$A$4:$A$63,"Ja",Monatlich!$H$4:$H$63,"Theo",Monatlich!$D$4:$D$63,"Ausgabe",Monatlich!$J$4:$J$63,"&lt;="&amp;$A16,Monatlich!$K$4:$K$63,"&gt;="&amp;$A16)+SUMIFS(Einmalig!$E$4:$E$43,Einmalig!$A$4:$A$43,"Ja",Einmalig!$G$4:$G$43,"Theo",Einmalig!$D$4:$D$43,"Ausgabe",Einmalig!$I$4:$I$43,$A16)</f>
        <v>0</v>
      </c>
      <c r="K16" s="15">
        <f>SUMIFS(Monatlich!$E$4:$E$63,Monatlich!$A$4:$A$63,"Ja",Monatlich!$H$4:$H$63,"Jule",Monatlich!$D$4:$D$63,"Ausgabe",Monatlich!$J$4:$J$63,"&lt;="&amp;$A16,Monatlich!$K$4:$K$63,"&gt;="&amp;$A16)+SUMIFS(Einmalig!$E$4:$E$43,Einmalig!$A$4:$A$43,"Ja",Einmalig!$G$4:$G$43,"Jule",Einmalig!$D$4:$D$43,"Ausgabe",Einmalig!$I$4:$I$43,$A16)</f>
        <v>0</v>
      </c>
      <c r="L16" s="15">
        <f>SUMIFS(Monatlich!$E$4:$E$63,Monatlich!$A$4:$A$63,"Ja",Monatlich!$H$4:$H$63,"Gemeinsam",Monatlich!$D$4:$D$63,"Ausgabe",Monatlich!$J$4:$J$63,"&lt;="&amp;$A16,Monatlich!$K$4:$K$63,"&gt;="&amp;$A16)+SUMIFS(Einmalig!$E$4:$E$43,Einmalig!$A$4:$A$43,"Ja",Einmalig!$G$4:$G$43,"Gemeinsam",Einmalig!$D$4:$D$43,"Ausgabe",Einmalig!$I$4:$I$43,$A16)</f>
        <v>2500</v>
      </c>
      <c r="M16" s="12">
        <f t="shared" si="1"/>
        <v>4000</v>
      </c>
      <c r="N16" s="12">
        <f t="shared" si="2"/>
        <v>3522.3205049999997</v>
      </c>
      <c r="O16" s="15">
        <f>MAX(0,(Q15+B16+D16-H16-J16)-Annahmen!C19)</f>
        <v>4166.8605049999996</v>
      </c>
      <c r="P16" s="15">
        <f>MAX(0,(R15+C16+E16-I16-K16)-Annahmen!C20)</f>
        <v>1855.46</v>
      </c>
      <c r="Q16" s="15">
        <f t="shared" si="5"/>
        <v>0</v>
      </c>
      <c r="R16" s="15">
        <f t="shared" si="6"/>
        <v>0</v>
      </c>
      <c r="S16" s="15">
        <f t="shared" si="7"/>
        <v>68533.923030000005</v>
      </c>
      <c r="T16" s="12">
        <f t="shared" si="3"/>
        <v>68533.923030000005</v>
      </c>
    </row>
    <row r="17" spans="1:20" x14ac:dyDescent="0.2">
      <c r="A17" s="16">
        <f t="shared" si="4"/>
        <v>46447</v>
      </c>
      <c r="B17" s="10">
        <f>Annahmen!C55</f>
        <v>4916.8605049999996</v>
      </c>
      <c r="C17" s="10">
        <f>Annahmen!D55</f>
        <v>2605.46</v>
      </c>
      <c r="D17" s="11">
        <f>SUMIFS(Monatlich!$E$4:$E$63,Monatlich!$A$4:$A$63,"Ja",Monatlich!$H$4:$H$63,"Theo",Monatlich!$D$4:$D$63,"Einnahme",Monatlich!$J$4:$J$63,"&lt;="&amp;$A17,Monatlich!$K$4:$K$63,"&gt;="&amp;$A17)+SUMIFS(Einmalig!$E$4:$E$43,Einmalig!$A$4:$A$43,"Ja",Einmalig!$G$4:$G$43,"Theo",Einmalig!$D$4:$D$43,"Einnahme",Einmalig!$I$4:$I$43,$A17)</f>
        <v>0</v>
      </c>
      <c r="E17" s="11">
        <f>SUMIFS(Monatlich!$E$4:$E$63,Monatlich!$A$4:$A$63,"Ja",Monatlich!$H$4:$H$63,"Jule",Monatlich!$D$4:$D$63,"Einnahme",Monatlich!$J$4:$J$63,"&lt;="&amp;$A17,Monatlich!$K$4:$K$63,"&gt;="&amp;$A17)+SUMIFS(Einmalig!$E$4:$E$43,Einmalig!$A$4:$A$43,"Ja",Einmalig!$G$4:$G$43,"Jule",Einmalig!$D$4:$D$43,"Einnahme",Einmalig!$I$4:$I$43,$A17)</f>
        <v>0</v>
      </c>
      <c r="F17" s="11">
        <f>SUMIFS(Monatlich!$E$4:$E$63,Monatlich!$A$4:$A$63,"Ja",Monatlich!$H$4:$H$63,"Gemeinsam",Monatlich!$D$4:$D$63,"Einnahme",Monatlich!$J$4:$J$63,"&lt;="&amp;$A17,Monatlich!$K$4:$K$63,"&gt;="&amp;$A17)+SUMIFS(Einmalig!$E$4:$E$43,Einmalig!$A$4:$A$43,"Ja",Einmalig!$G$4:$G$43,"Gemeinsam",Einmalig!$D$4:$D$43,"Einnahme",Einmalig!$I$4:$I$43,$A17)</f>
        <v>0</v>
      </c>
      <c r="G17" s="12">
        <f t="shared" si="0"/>
        <v>7522.3205049999997</v>
      </c>
      <c r="H17" s="10">
        <f>Annahmen!C17</f>
        <v>750</v>
      </c>
      <c r="I17" s="10">
        <f>Annahmen!C18</f>
        <v>750</v>
      </c>
      <c r="J17" s="11">
        <f>SUMIFS(Monatlich!$E$4:$E$63,Monatlich!$A$4:$A$63,"Ja",Monatlich!$H$4:$H$63,"Theo",Monatlich!$D$4:$D$63,"Ausgabe",Monatlich!$J$4:$J$63,"&lt;="&amp;$A17,Monatlich!$K$4:$K$63,"&gt;="&amp;$A17)+SUMIFS(Einmalig!$E$4:$E$43,Einmalig!$A$4:$A$43,"Ja",Einmalig!$G$4:$G$43,"Theo",Einmalig!$D$4:$D$43,"Ausgabe",Einmalig!$I$4:$I$43,$A17)</f>
        <v>0</v>
      </c>
      <c r="K17" s="11">
        <f>SUMIFS(Monatlich!$E$4:$E$63,Monatlich!$A$4:$A$63,"Ja",Monatlich!$H$4:$H$63,"Jule",Monatlich!$D$4:$D$63,"Ausgabe",Monatlich!$J$4:$J$63,"&lt;="&amp;$A17,Monatlich!$K$4:$K$63,"&gt;="&amp;$A17)+SUMIFS(Einmalig!$E$4:$E$43,Einmalig!$A$4:$A$43,"Ja",Einmalig!$G$4:$G$43,"Jule",Einmalig!$D$4:$D$43,"Ausgabe",Einmalig!$I$4:$I$43,$A17)</f>
        <v>0</v>
      </c>
      <c r="L17" s="11">
        <f>SUMIFS(Monatlich!$E$4:$E$63,Monatlich!$A$4:$A$63,"Ja",Monatlich!$H$4:$H$63,"Gemeinsam",Monatlich!$D$4:$D$63,"Ausgabe",Monatlich!$J$4:$J$63,"&lt;="&amp;$A17,Monatlich!$K$4:$K$63,"&gt;="&amp;$A17)+SUMIFS(Einmalig!$E$4:$E$43,Einmalig!$A$4:$A$43,"Ja",Einmalig!$G$4:$G$43,"Gemeinsam",Einmalig!$D$4:$D$43,"Ausgabe",Einmalig!$I$4:$I$43,$A17)</f>
        <v>2500</v>
      </c>
      <c r="M17" s="12">
        <f t="shared" si="1"/>
        <v>4000</v>
      </c>
      <c r="N17" s="12">
        <f t="shared" si="2"/>
        <v>3522.3205049999997</v>
      </c>
      <c r="O17" s="11">
        <f>MAX(0,(Q16+B17+D17-H17-J17)-Annahmen!C19)</f>
        <v>4166.8605049999996</v>
      </c>
      <c r="P17" s="11">
        <f>MAX(0,(R16+C17+E17-I17-K17)-Annahmen!C20)</f>
        <v>1855.46</v>
      </c>
      <c r="Q17" s="11">
        <f t="shared" si="5"/>
        <v>0</v>
      </c>
      <c r="R17" s="11">
        <f t="shared" si="6"/>
        <v>0</v>
      </c>
      <c r="S17" s="11">
        <f t="shared" si="7"/>
        <v>72056.243535000016</v>
      </c>
      <c r="T17" s="12">
        <f t="shared" si="3"/>
        <v>72056.243535000016</v>
      </c>
    </row>
    <row r="18" spans="1:20" x14ac:dyDescent="0.2">
      <c r="A18" s="13">
        <f t="shared" si="4"/>
        <v>46478</v>
      </c>
      <c r="B18" s="14">
        <f>Annahmen!C55</f>
        <v>4916.8605049999996</v>
      </c>
      <c r="C18" s="14">
        <f>Annahmen!D55</f>
        <v>2605.46</v>
      </c>
      <c r="D18" s="15">
        <f>SUMIFS(Monatlich!$E$4:$E$63,Monatlich!$A$4:$A$63,"Ja",Monatlich!$H$4:$H$63,"Theo",Monatlich!$D$4:$D$63,"Einnahme",Monatlich!$J$4:$J$63,"&lt;="&amp;$A18,Monatlich!$K$4:$K$63,"&gt;="&amp;$A18)+SUMIFS(Einmalig!$E$4:$E$43,Einmalig!$A$4:$A$43,"Ja",Einmalig!$G$4:$G$43,"Theo",Einmalig!$D$4:$D$43,"Einnahme",Einmalig!$I$4:$I$43,$A18)</f>
        <v>0</v>
      </c>
      <c r="E18" s="15">
        <f>SUMIFS(Monatlich!$E$4:$E$63,Monatlich!$A$4:$A$63,"Ja",Monatlich!$H$4:$H$63,"Jule",Monatlich!$D$4:$D$63,"Einnahme",Monatlich!$J$4:$J$63,"&lt;="&amp;$A18,Monatlich!$K$4:$K$63,"&gt;="&amp;$A18)+SUMIFS(Einmalig!$E$4:$E$43,Einmalig!$A$4:$A$43,"Ja",Einmalig!$G$4:$G$43,"Jule",Einmalig!$D$4:$D$43,"Einnahme",Einmalig!$I$4:$I$43,$A18)</f>
        <v>0</v>
      </c>
      <c r="F18" s="15">
        <f>SUMIFS(Monatlich!$E$4:$E$63,Monatlich!$A$4:$A$63,"Ja",Monatlich!$H$4:$H$63,"Gemeinsam",Monatlich!$D$4:$D$63,"Einnahme",Monatlich!$J$4:$J$63,"&lt;="&amp;$A18,Monatlich!$K$4:$K$63,"&gt;="&amp;$A18)+SUMIFS(Einmalig!$E$4:$E$43,Einmalig!$A$4:$A$43,"Ja",Einmalig!$G$4:$G$43,"Gemeinsam",Einmalig!$D$4:$D$43,"Einnahme",Einmalig!$I$4:$I$43,$A18)</f>
        <v>0</v>
      </c>
      <c r="G18" s="12">
        <f t="shared" si="0"/>
        <v>7522.3205049999997</v>
      </c>
      <c r="H18" s="14">
        <f>Annahmen!C17</f>
        <v>750</v>
      </c>
      <c r="I18" s="14">
        <f>Annahmen!C18</f>
        <v>750</v>
      </c>
      <c r="J18" s="15">
        <f>SUMIFS(Monatlich!$E$4:$E$63,Monatlich!$A$4:$A$63,"Ja",Monatlich!$H$4:$H$63,"Theo",Monatlich!$D$4:$D$63,"Ausgabe",Monatlich!$J$4:$J$63,"&lt;="&amp;$A18,Monatlich!$K$4:$K$63,"&gt;="&amp;$A18)+SUMIFS(Einmalig!$E$4:$E$43,Einmalig!$A$4:$A$43,"Ja",Einmalig!$G$4:$G$43,"Theo",Einmalig!$D$4:$D$43,"Ausgabe",Einmalig!$I$4:$I$43,$A18)</f>
        <v>0</v>
      </c>
      <c r="K18" s="15">
        <f>SUMIFS(Monatlich!$E$4:$E$63,Monatlich!$A$4:$A$63,"Ja",Monatlich!$H$4:$H$63,"Jule",Monatlich!$D$4:$D$63,"Ausgabe",Monatlich!$J$4:$J$63,"&lt;="&amp;$A18,Monatlich!$K$4:$K$63,"&gt;="&amp;$A18)+SUMIFS(Einmalig!$E$4:$E$43,Einmalig!$A$4:$A$43,"Ja",Einmalig!$G$4:$G$43,"Jule",Einmalig!$D$4:$D$43,"Ausgabe",Einmalig!$I$4:$I$43,$A18)</f>
        <v>0</v>
      </c>
      <c r="L18" s="15">
        <f>SUMIFS(Monatlich!$E$4:$E$63,Monatlich!$A$4:$A$63,"Ja",Monatlich!$H$4:$H$63,"Gemeinsam",Monatlich!$D$4:$D$63,"Ausgabe",Monatlich!$J$4:$J$63,"&lt;="&amp;$A18,Monatlich!$K$4:$K$63,"&gt;="&amp;$A18)+SUMIFS(Einmalig!$E$4:$E$43,Einmalig!$A$4:$A$43,"Ja",Einmalig!$G$4:$G$43,"Gemeinsam",Einmalig!$D$4:$D$43,"Ausgabe",Einmalig!$I$4:$I$43,$A18)</f>
        <v>2500</v>
      </c>
      <c r="M18" s="12">
        <f t="shared" si="1"/>
        <v>4000</v>
      </c>
      <c r="N18" s="12">
        <f t="shared" si="2"/>
        <v>3522.3205049999997</v>
      </c>
      <c r="O18" s="15">
        <f>MAX(0,(Q17+B18+D18-H18-J18)-Annahmen!C19)</f>
        <v>4166.8605049999996</v>
      </c>
      <c r="P18" s="15">
        <f>MAX(0,(R17+C18+E18-I18-K18)-Annahmen!C20)</f>
        <v>1855.46</v>
      </c>
      <c r="Q18" s="15">
        <f t="shared" si="5"/>
        <v>0</v>
      </c>
      <c r="R18" s="15">
        <f t="shared" si="6"/>
        <v>0</v>
      </c>
      <c r="S18" s="15">
        <f t="shared" si="7"/>
        <v>75578.564040000027</v>
      </c>
      <c r="T18" s="12">
        <f t="shared" si="3"/>
        <v>75578.564040000027</v>
      </c>
    </row>
    <row r="19" spans="1:20" x14ac:dyDescent="0.2">
      <c r="A19" s="16">
        <f t="shared" si="4"/>
        <v>46508</v>
      </c>
      <c r="B19" s="10">
        <f>Annahmen!C55</f>
        <v>4916.8605049999996</v>
      </c>
      <c r="C19" s="10">
        <f>Annahmen!D55</f>
        <v>2605.46</v>
      </c>
      <c r="D19" s="11">
        <f>SUMIFS(Monatlich!$E$4:$E$63,Monatlich!$A$4:$A$63,"Ja",Monatlich!$H$4:$H$63,"Theo",Monatlich!$D$4:$D$63,"Einnahme",Monatlich!$J$4:$J$63,"&lt;="&amp;$A19,Monatlich!$K$4:$K$63,"&gt;="&amp;$A19)+SUMIFS(Einmalig!$E$4:$E$43,Einmalig!$A$4:$A$43,"Ja",Einmalig!$G$4:$G$43,"Theo",Einmalig!$D$4:$D$43,"Einnahme",Einmalig!$I$4:$I$43,$A19)</f>
        <v>0</v>
      </c>
      <c r="E19" s="11">
        <f>SUMIFS(Monatlich!$E$4:$E$63,Monatlich!$A$4:$A$63,"Ja",Monatlich!$H$4:$H$63,"Jule",Monatlich!$D$4:$D$63,"Einnahme",Monatlich!$J$4:$J$63,"&lt;="&amp;$A19,Monatlich!$K$4:$K$63,"&gt;="&amp;$A19)+SUMIFS(Einmalig!$E$4:$E$43,Einmalig!$A$4:$A$43,"Ja",Einmalig!$G$4:$G$43,"Jule",Einmalig!$D$4:$D$43,"Einnahme",Einmalig!$I$4:$I$43,$A19)</f>
        <v>0</v>
      </c>
      <c r="F19" s="11">
        <f>SUMIFS(Monatlich!$E$4:$E$63,Monatlich!$A$4:$A$63,"Ja",Monatlich!$H$4:$H$63,"Gemeinsam",Monatlich!$D$4:$D$63,"Einnahme",Monatlich!$J$4:$J$63,"&lt;="&amp;$A19,Monatlich!$K$4:$K$63,"&gt;="&amp;$A19)+SUMIFS(Einmalig!$E$4:$E$43,Einmalig!$A$4:$A$43,"Ja",Einmalig!$G$4:$G$43,"Gemeinsam",Einmalig!$D$4:$D$43,"Einnahme",Einmalig!$I$4:$I$43,$A19)</f>
        <v>0</v>
      </c>
      <c r="G19" s="12">
        <f t="shared" si="0"/>
        <v>7522.3205049999997</v>
      </c>
      <c r="H19" s="10">
        <f>Annahmen!C17</f>
        <v>750</v>
      </c>
      <c r="I19" s="10">
        <f>Annahmen!C18</f>
        <v>750</v>
      </c>
      <c r="J19" s="11">
        <f>SUMIFS(Monatlich!$E$4:$E$63,Monatlich!$A$4:$A$63,"Ja",Monatlich!$H$4:$H$63,"Theo",Monatlich!$D$4:$D$63,"Ausgabe",Monatlich!$J$4:$J$63,"&lt;="&amp;$A19,Monatlich!$K$4:$K$63,"&gt;="&amp;$A19)+SUMIFS(Einmalig!$E$4:$E$43,Einmalig!$A$4:$A$43,"Ja",Einmalig!$G$4:$G$43,"Theo",Einmalig!$D$4:$D$43,"Ausgabe",Einmalig!$I$4:$I$43,$A19)</f>
        <v>0</v>
      </c>
      <c r="K19" s="11">
        <f>SUMIFS(Monatlich!$E$4:$E$63,Monatlich!$A$4:$A$63,"Ja",Monatlich!$H$4:$H$63,"Jule",Monatlich!$D$4:$D$63,"Ausgabe",Monatlich!$J$4:$J$63,"&lt;="&amp;$A19,Monatlich!$K$4:$K$63,"&gt;="&amp;$A19)+SUMIFS(Einmalig!$E$4:$E$43,Einmalig!$A$4:$A$43,"Ja",Einmalig!$G$4:$G$43,"Jule",Einmalig!$D$4:$D$43,"Ausgabe",Einmalig!$I$4:$I$43,$A19)</f>
        <v>0</v>
      </c>
      <c r="L19" s="11">
        <f>SUMIFS(Monatlich!$E$4:$E$63,Monatlich!$A$4:$A$63,"Ja",Monatlich!$H$4:$H$63,"Gemeinsam",Monatlich!$D$4:$D$63,"Ausgabe",Monatlich!$J$4:$J$63,"&lt;="&amp;$A19,Monatlich!$K$4:$K$63,"&gt;="&amp;$A19)+SUMIFS(Einmalig!$E$4:$E$43,Einmalig!$A$4:$A$43,"Ja",Einmalig!$G$4:$G$43,"Gemeinsam",Einmalig!$D$4:$D$43,"Ausgabe",Einmalig!$I$4:$I$43,$A19)</f>
        <v>2500</v>
      </c>
      <c r="M19" s="12">
        <f t="shared" si="1"/>
        <v>4000</v>
      </c>
      <c r="N19" s="12">
        <f t="shared" si="2"/>
        <v>3522.3205049999997</v>
      </c>
      <c r="O19" s="11">
        <f>MAX(0,(Q18+B19+D19-H19-J19)-Annahmen!C19)</f>
        <v>4166.8605049999996</v>
      </c>
      <c r="P19" s="11">
        <f>MAX(0,(R18+C19+E19-I19-K19)-Annahmen!C20)</f>
        <v>1855.46</v>
      </c>
      <c r="Q19" s="11">
        <f t="shared" si="5"/>
        <v>0</v>
      </c>
      <c r="R19" s="11">
        <f t="shared" si="6"/>
        <v>0</v>
      </c>
      <c r="S19" s="11">
        <f t="shared" si="7"/>
        <v>79100.884545000037</v>
      </c>
      <c r="T19" s="12">
        <f t="shared" si="3"/>
        <v>79100.884545000037</v>
      </c>
    </row>
    <row r="20" spans="1:20" x14ac:dyDescent="0.2">
      <c r="A20" s="13">
        <f t="shared" si="4"/>
        <v>46539</v>
      </c>
      <c r="B20" s="14">
        <f>Annahmen!C55</f>
        <v>4916.8605049999996</v>
      </c>
      <c r="C20" s="14">
        <f>Annahmen!D55</f>
        <v>2605.46</v>
      </c>
      <c r="D20" s="15">
        <f>SUMIFS(Monatlich!$E$4:$E$63,Monatlich!$A$4:$A$63,"Ja",Monatlich!$H$4:$H$63,"Theo",Monatlich!$D$4:$D$63,"Einnahme",Monatlich!$J$4:$J$63,"&lt;="&amp;$A20,Monatlich!$K$4:$K$63,"&gt;="&amp;$A20)+SUMIFS(Einmalig!$E$4:$E$43,Einmalig!$A$4:$A$43,"Ja",Einmalig!$G$4:$G$43,"Theo",Einmalig!$D$4:$D$43,"Einnahme",Einmalig!$I$4:$I$43,$A20)</f>
        <v>0</v>
      </c>
      <c r="E20" s="15">
        <f>SUMIFS(Monatlich!$E$4:$E$63,Monatlich!$A$4:$A$63,"Ja",Monatlich!$H$4:$H$63,"Jule",Monatlich!$D$4:$D$63,"Einnahme",Monatlich!$J$4:$J$63,"&lt;="&amp;$A20,Monatlich!$K$4:$K$63,"&gt;="&amp;$A20)+SUMIFS(Einmalig!$E$4:$E$43,Einmalig!$A$4:$A$43,"Ja",Einmalig!$G$4:$G$43,"Jule",Einmalig!$D$4:$D$43,"Einnahme",Einmalig!$I$4:$I$43,$A20)</f>
        <v>0</v>
      </c>
      <c r="F20" s="15">
        <f>SUMIFS(Monatlich!$E$4:$E$63,Monatlich!$A$4:$A$63,"Ja",Monatlich!$H$4:$H$63,"Gemeinsam",Monatlich!$D$4:$D$63,"Einnahme",Monatlich!$J$4:$J$63,"&lt;="&amp;$A20,Monatlich!$K$4:$K$63,"&gt;="&amp;$A20)+SUMIFS(Einmalig!$E$4:$E$43,Einmalig!$A$4:$A$43,"Ja",Einmalig!$G$4:$G$43,"Gemeinsam",Einmalig!$D$4:$D$43,"Einnahme",Einmalig!$I$4:$I$43,$A20)</f>
        <v>0</v>
      </c>
      <c r="G20" s="12">
        <f t="shared" si="0"/>
        <v>7522.3205049999997</v>
      </c>
      <c r="H20" s="14">
        <f>Annahmen!C17</f>
        <v>750</v>
      </c>
      <c r="I20" s="14">
        <f>Annahmen!C18</f>
        <v>750</v>
      </c>
      <c r="J20" s="15">
        <f>SUMIFS(Monatlich!$E$4:$E$63,Monatlich!$A$4:$A$63,"Ja",Monatlich!$H$4:$H$63,"Theo",Monatlich!$D$4:$D$63,"Ausgabe",Monatlich!$J$4:$J$63,"&lt;="&amp;$A20,Monatlich!$K$4:$K$63,"&gt;="&amp;$A20)+SUMIFS(Einmalig!$E$4:$E$43,Einmalig!$A$4:$A$43,"Ja",Einmalig!$G$4:$G$43,"Theo",Einmalig!$D$4:$D$43,"Ausgabe",Einmalig!$I$4:$I$43,$A20)</f>
        <v>0</v>
      </c>
      <c r="K20" s="15">
        <f>SUMIFS(Monatlich!$E$4:$E$63,Monatlich!$A$4:$A$63,"Ja",Monatlich!$H$4:$H$63,"Jule",Monatlich!$D$4:$D$63,"Ausgabe",Monatlich!$J$4:$J$63,"&lt;="&amp;$A20,Monatlich!$K$4:$K$63,"&gt;="&amp;$A20)+SUMIFS(Einmalig!$E$4:$E$43,Einmalig!$A$4:$A$43,"Ja",Einmalig!$G$4:$G$43,"Jule",Einmalig!$D$4:$D$43,"Ausgabe",Einmalig!$I$4:$I$43,$A20)</f>
        <v>0</v>
      </c>
      <c r="L20" s="15">
        <f>SUMIFS(Monatlich!$E$4:$E$63,Monatlich!$A$4:$A$63,"Ja",Monatlich!$H$4:$H$63,"Gemeinsam",Monatlich!$D$4:$D$63,"Ausgabe",Monatlich!$J$4:$J$63,"&lt;="&amp;$A20,Monatlich!$K$4:$K$63,"&gt;="&amp;$A20)+SUMIFS(Einmalig!$E$4:$E$43,Einmalig!$A$4:$A$43,"Ja",Einmalig!$G$4:$G$43,"Gemeinsam",Einmalig!$D$4:$D$43,"Ausgabe",Einmalig!$I$4:$I$43,$A20)</f>
        <v>2500</v>
      </c>
      <c r="M20" s="12">
        <f t="shared" si="1"/>
        <v>4000</v>
      </c>
      <c r="N20" s="12">
        <f t="shared" si="2"/>
        <v>3522.3205049999997</v>
      </c>
      <c r="O20" s="15">
        <f>MAX(0,(Q19+B20+D20-H20-J20)-Annahmen!C19)</f>
        <v>4166.8605049999996</v>
      </c>
      <c r="P20" s="15">
        <f>MAX(0,(R19+C20+E20-I20-K20)-Annahmen!C20)</f>
        <v>1855.46</v>
      </c>
      <c r="Q20" s="15">
        <f t="shared" si="5"/>
        <v>0</v>
      </c>
      <c r="R20" s="15">
        <f t="shared" si="6"/>
        <v>0</v>
      </c>
      <c r="S20" s="15">
        <f t="shared" si="7"/>
        <v>82623.205050000048</v>
      </c>
      <c r="T20" s="12">
        <f t="shared" si="3"/>
        <v>82623.205050000048</v>
      </c>
    </row>
    <row r="21" spans="1:20" x14ac:dyDescent="0.2">
      <c r="A21" s="16">
        <f t="shared" si="4"/>
        <v>46569</v>
      </c>
      <c r="B21" s="10">
        <f>Annahmen!C55</f>
        <v>4916.8605049999996</v>
      </c>
      <c r="C21" s="10">
        <f>Annahmen!D55</f>
        <v>2605.46</v>
      </c>
      <c r="D21" s="11">
        <f>SUMIFS(Monatlich!$E$4:$E$63,Monatlich!$A$4:$A$63,"Ja",Monatlich!$H$4:$H$63,"Theo",Monatlich!$D$4:$D$63,"Einnahme",Monatlich!$J$4:$J$63,"&lt;="&amp;$A21,Monatlich!$K$4:$K$63,"&gt;="&amp;$A21)+SUMIFS(Einmalig!$E$4:$E$43,Einmalig!$A$4:$A$43,"Ja",Einmalig!$G$4:$G$43,"Theo",Einmalig!$D$4:$D$43,"Einnahme",Einmalig!$I$4:$I$43,$A21)</f>
        <v>0</v>
      </c>
      <c r="E21" s="11">
        <f>SUMIFS(Monatlich!$E$4:$E$63,Monatlich!$A$4:$A$63,"Ja",Monatlich!$H$4:$H$63,"Jule",Monatlich!$D$4:$D$63,"Einnahme",Monatlich!$J$4:$J$63,"&lt;="&amp;$A21,Monatlich!$K$4:$K$63,"&gt;="&amp;$A21)+SUMIFS(Einmalig!$E$4:$E$43,Einmalig!$A$4:$A$43,"Ja",Einmalig!$G$4:$G$43,"Jule",Einmalig!$D$4:$D$43,"Einnahme",Einmalig!$I$4:$I$43,$A21)</f>
        <v>0</v>
      </c>
      <c r="F21" s="11">
        <f>SUMIFS(Monatlich!$E$4:$E$63,Monatlich!$A$4:$A$63,"Ja",Monatlich!$H$4:$H$63,"Gemeinsam",Monatlich!$D$4:$D$63,"Einnahme",Monatlich!$J$4:$J$63,"&lt;="&amp;$A21,Monatlich!$K$4:$K$63,"&gt;="&amp;$A21)+SUMIFS(Einmalig!$E$4:$E$43,Einmalig!$A$4:$A$43,"Ja",Einmalig!$G$4:$G$43,"Gemeinsam",Einmalig!$D$4:$D$43,"Einnahme",Einmalig!$I$4:$I$43,$A21)</f>
        <v>0</v>
      </c>
      <c r="G21" s="12">
        <f t="shared" si="0"/>
        <v>7522.3205049999997</v>
      </c>
      <c r="H21" s="10">
        <f>Annahmen!C17</f>
        <v>750</v>
      </c>
      <c r="I21" s="10">
        <f>Annahmen!C18</f>
        <v>750</v>
      </c>
      <c r="J21" s="11">
        <f>SUMIFS(Monatlich!$E$4:$E$63,Monatlich!$A$4:$A$63,"Ja",Monatlich!$H$4:$H$63,"Theo",Monatlich!$D$4:$D$63,"Ausgabe",Monatlich!$J$4:$J$63,"&lt;="&amp;$A21,Monatlich!$K$4:$K$63,"&gt;="&amp;$A21)+SUMIFS(Einmalig!$E$4:$E$43,Einmalig!$A$4:$A$43,"Ja",Einmalig!$G$4:$G$43,"Theo",Einmalig!$D$4:$D$43,"Ausgabe",Einmalig!$I$4:$I$43,$A21)</f>
        <v>0</v>
      </c>
      <c r="K21" s="11">
        <f>SUMIFS(Monatlich!$E$4:$E$63,Monatlich!$A$4:$A$63,"Ja",Monatlich!$H$4:$H$63,"Jule",Monatlich!$D$4:$D$63,"Ausgabe",Monatlich!$J$4:$J$63,"&lt;="&amp;$A21,Monatlich!$K$4:$K$63,"&gt;="&amp;$A21)+SUMIFS(Einmalig!$E$4:$E$43,Einmalig!$A$4:$A$43,"Ja",Einmalig!$G$4:$G$43,"Jule",Einmalig!$D$4:$D$43,"Ausgabe",Einmalig!$I$4:$I$43,$A21)</f>
        <v>0</v>
      </c>
      <c r="L21" s="11">
        <f>SUMIFS(Monatlich!$E$4:$E$63,Monatlich!$A$4:$A$63,"Ja",Monatlich!$H$4:$H$63,"Gemeinsam",Monatlich!$D$4:$D$63,"Ausgabe",Monatlich!$J$4:$J$63,"&lt;="&amp;$A21,Monatlich!$K$4:$K$63,"&gt;="&amp;$A21)+SUMIFS(Einmalig!$E$4:$E$43,Einmalig!$A$4:$A$43,"Ja",Einmalig!$G$4:$G$43,"Gemeinsam",Einmalig!$D$4:$D$43,"Ausgabe",Einmalig!$I$4:$I$43,$A21)</f>
        <v>2500</v>
      </c>
      <c r="M21" s="12">
        <f t="shared" si="1"/>
        <v>4000</v>
      </c>
      <c r="N21" s="12">
        <f t="shared" si="2"/>
        <v>3522.3205049999997</v>
      </c>
      <c r="O21" s="11">
        <f>MAX(0,(Q20+B21+D21-H21-J21)-Annahmen!C19)</f>
        <v>4166.8605049999996</v>
      </c>
      <c r="P21" s="11">
        <f>MAX(0,(R20+C21+E21-I21-K21)-Annahmen!C20)</f>
        <v>1855.46</v>
      </c>
      <c r="Q21" s="11">
        <f t="shared" si="5"/>
        <v>0</v>
      </c>
      <c r="R21" s="11">
        <f t="shared" si="6"/>
        <v>0</v>
      </c>
      <c r="S21" s="11">
        <f t="shared" si="7"/>
        <v>86145.525555000058</v>
      </c>
      <c r="T21" s="12">
        <f t="shared" si="3"/>
        <v>86145.525555000058</v>
      </c>
    </row>
    <row r="22" spans="1:20" x14ac:dyDescent="0.2">
      <c r="A22" s="13">
        <f t="shared" si="4"/>
        <v>46600</v>
      </c>
      <c r="B22" s="14">
        <f>Annahmen!C55</f>
        <v>4916.8605049999996</v>
      </c>
      <c r="C22" s="14">
        <f>Annahmen!D55</f>
        <v>2605.46</v>
      </c>
      <c r="D22" s="15">
        <f>SUMIFS(Monatlich!$E$4:$E$63,Monatlich!$A$4:$A$63,"Ja",Monatlich!$H$4:$H$63,"Theo",Monatlich!$D$4:$D$63,"Einnahme",Monatlich!$J$4:$J$63,"&lt;="&amp;$A22,Monatlich!$K$4:$K$63,"&gt;="&amp;$A22)+SUMIFS(Einmalig!$E$4:$E$43,Einmalig!$A$4:$A$43,"Ja",Einmalig!$G$4:$G$43,"Theo",Einmalig!$D$4:$D$43,"Einnahme",Einmalig!$I$4:$I$43,$A22)</f>
        <v>0</v>
      </c>
      <c r="E22" s="15">
        <f>SUMIFS(Monatlich!$E$4:$E$63,Monatlich!$A$4:$A$63,"Ja",Monatlich!$H$4:$H$63,"Jule",Monatlich!$D$4:$D$63,"Einnahme",Monatlich!$J$4:$J$63,"&lt;="&amp;$A22,Monatlich!$K$4:$K$63,"&gt;="&amp;$A22)+SUMIFS(Einmalig!$E$4:$E$43,Einmalig!$A$4:$A$43,"Ja",Einmalig!$G$4:$G$43,"Jule",Einmalig!$D$4:$D$43,"Einnahme",Einmalig!$I$4:$I$43,$A22)</f>
        <v>0</v>
      </c>
      <c r="F22" s="15">
        <f>SUMIFS(Monatlich!$E$4:$E$63,Monatlich!$A$4:$A$63,"Ja",Monatlich!$H$4:$H$63,"Gemeinsam",Monatlich!$D$4:$D$63,"Einnahme",Monatlich!$J$4:$J$63,"&lt;="&amp;$A22,Monatlich!$K$4:$K$63,"&gt;="&amp;$A22)+SUMIFS(Einmalig!$E$4:$E$43,Einmalig!$A$4:$A$43,"Ja",Einmalig!$G$4:$G$43,"Gemeinsam",Einmalig!$D$4:$D$43,"Einnahme",Einmalig!$I$4:$I$43,$A22)</f>
        <v>0</v>
      </c>
      <c r="G22" s="12">
        <f t="shared" si="0"/>
        <v>7522.3205049999997</v>
      </c>
      <c r="H22" s="14">
        <f>Annahmen!C17</f>
        <v>750</v>
      </c>
      <c r="I22" s="14">
        <f>Annahmen!C18</f>
        <v>750</v>
      </c>
      <c r="J22" s="15">
        <f>SUMIFS(Monatlich!$E$4:$E$63,Monatlich!$A$4:$A$63,"Ja",Monatlich!$H$4:$H$63,"Theo",Monatlich!$D$4:$D$63,"Ausgabe",Monatlich!$J$4:$J$63,"&lt;="&amp;$A22,Monatlich!$K$4:$K$63,"&gt;="&amp;$A22)+SUMIFS(Einmalig!$E$4:$E$43,Einmalig!$A$4:$A$43,"Ja",Einmalig!$G$4:$G$43,"Theo",Einmalig!$D$4:$D$43,"Ausgabe",Einmalig!$I$4:$I$43,$A22)</f>
        <v>0</v>
      </c>
      <c r="K22" s="15">
        <f>SUMIFS(Monatlich!$E$4:$E$63,Monatlich!$A$4:$A$63,"Ja",Monatlich!$H$4:$H$63,"Jule",Monatlich!$D$4:$D$63,"Ausgabe",Monatlich!$J$4:$J$63,"&lt;="&amp;$A22,Monatlich!$K$4:$K$63,"&gt;="&amp;$A22)+SUMIFS(Einmalig!$E$4:$E$43,Einmalig!$A$4:$A$43,"Ja",Einmalig!$G$4:$G$43,"Jule",Einmalig!$D$4:$D$43,"Ausgabe",Einmalig!$I$4:$I$43,$A22)</f>
        <v>0</v>
      </c>
      <c r="L22" s="15">
        <f>SUMIFS(Monatlich!$E$4:$E$63,Monatlich!$A$4:$A$63,"Ja",Monatlich!$H$4:$H$63,"Gemeinsam",Monatlich!$D$4:$D$63,"Ausgabe",Monatlich!$J$4:$J$63,"&lt;="&amp;$A22,Monatlich!$K$4:$K$63,"&gt;="&amp;$A22)+SUMIFS(Einmalig!$E$4:$E$43,Einmalig!$A$4:$A$43,"Ja",Einmalig!$G$4:$G$43,"Gemeinsam",Einmalig!$D$4:$D$43,"Ausgabe",Einmalig!$I$4:$I$43,$A22)</f>
        <v>2500</v>
      </c>
      <c r="M22" s="12">
        <f t="shared" si="1"/>
        <v>4000</v>
      </c>
      <c r="N22" s="12">
        <f t="shared" si="2"/>
        <v>3522.3205049999997</v>
      </c>
      <c r="O22" s="15">
        <f>MAX(0,(Q21+B22+D22-H22-J22)-Annahmen!C19)</f>
        <v>4166.8605049999996</v>
      </c>
      <c r="P22" s="15">
        <f>MAX(0,(R21+C22+E22-I22-K22)-Annahmen!C20)</f>
        <v>1855.46</v>
      </c>
      <c r="Q22" s="15">
        <f t="shared" si="5"/>
        <v>0</v>
      </c>
      <c r="R22" s="15">
        <f t="shared" si="6"/>
        <v>0</v>
      </c>
      <c r="S22" s="15">
        <f t="shared" si="7"/>
        <v>89667.846060000069</v>
      </c>
      <c r="T22" s="12">
        <f t="shared" si="3"/>
        <v>89667.846060000069</v>
      </c>
    </row>
    <row r="23" spans="1:20" x14ac:dyDescent="0.2">
      <c r="A23" s="16">
        <f t="shared" si="4"/>
        <v>46631</v>
      </c>
      <c r="B23" s="10">
        <f>Annahmen!C55</f>
        <v>4916.8605049999996</v>
      </c>
      <c r="C23" s="10">
        <f>Annahmen!D55</f>
        <v>2605.46</v>
      </c>
      <c r="D23" s="11">
        <f>SUMIFS(Monatlich!$E$4:$E$63,Monatlich!$A$4:$A$63,"Ja",Monatlich!$H$4:$H$63,"Theo",Monatlich!$D$4:$D$63,"Einnahme",Monatlich!$J$4:$J$63,"&lt;="&amp;$A23,Monatlich!$K$4:$K$63,"&gt;="&amp;$A23)+SUMIFS(Einmalig!$E$4:$E$43,Einmalig!$A$4:$A$43,"Ja",Einmalig!$G$4:$G$43,"Theo",Einmalig!$D$4:$D$43,"Einnahme",Einmalig!$I$4:$I$43,$A23)</f>
        <v>0</v>
      </c>
      <c r="E23" s="11">
        <f>SUMIFS(Monatlich!$E$4:$E$63,Monatlich!$A$4:$A$63,"Ja",Monatlich!$H$4:$H$63,"Jule",Monatlich!$D$4:$D$63,"Einnahme",Monatlich!$J$4:$J$63,"&lt;="&amp;$A23,Monatlich!$K$4:$K$63,"&gt;="&amp;$A23)+SUMIFS(Einmalig!$E$4:$E$43,Einmalig!$A$4:$A$43,"Ja",Einmalig!$G$4:$G$43,"Jule",Einmalig!$D$4:$D$43,"Einnahme",Einmalig!$I$4:$I$43,$A23)</f>
        <v>0</v>
      </c>
      <c r="F23" s="11">
        <f>SUMIFS(Monatlich!$E$4:$E$63,Monatlich!$A$4:$A$63,"Ja",Monatlich!$H$4:$H$63,"Gemeinsam",Monatlich!$D$4:$D$63,"Einnahme",Monatlich!$J$4:$J$63,"&lt;="&amp;$A23,Monatlich!$K$4:$K$63,"&gt;="&amp;$A23)+SUMIFS(Einmalig!$E$4:$E$43,Einmalig!$A$4:$A$43,"Ja",Einmalig!$G$4:$G$43,"Gemeinsam",Einmalig!$D$4:$D$43,"Einnahme",Einmalig!$I$4:$I$43,$A23)</f>
        <v>0</v>
      </c>
      <c r="G23" s="12">
        <f t="shared" si="0"/>
        <v>7522.3205049999997</v>
      </c>
      <c r="H23" s="10">
        <f>Annahmen!C17</f>
        <v>750</v>
      </c>
      <c r="I23" s="10">
        <f>Annahmen!C18</f>
        <v>750</v>
      </c>
      <c r="J23" s="11">
        <f>SUMIFS(Monatlich!$E$4:$E$63,Monatlich!$A$4:$A$63,"Ja",Monatlich!$H$4:$H$63,"Theo",Monatlich!$D$4:$D$63,"Ausgabe",Monatlich!$J$4:$J$63,"&lt;="&amp;$A23,Monatlich!$K$4:$K$63,"&gt;="&amp;$A23)+SUMIFS(Einmalig!$E$4:$E$43,Einmalig!$A$4:$A$43,"Ja",Einmalig!$G$4:$G$43,"Theo",Einmalig!$D$4:$D$43,"Ausgabe",Einmalig!$I$4:$I$43,$A23)</f>
        <v>0</v>
      </c>
      <c r="K23" s="11">
        <f>SUMIFS(Monatlich!$E$4:$E$63,Monatlich!$A$4:$A$63,"Ja",Monatlich!$H$4:$H$63,"Jule",Monatlich!$D$4:$D$63,"Ausgabe",Monatlich!$J$4:$J$63,"&lt;="&amp;$A23,Monatlich!$K$4:$K$63,"&gt;="&amp;$A23)+SUMIFS(Einmalig!$E$4:$E$43,Einmalig!$A$4:$A$43,"Ja",Einmalig!$G$4:$G$43,"Jule",Einmalig!$D$4:$D$43,"Ausgabe",Einmalig!$I$4:$I$43,$A23)</f>
        <v>0</v>
      </c>
      <c r="L23" s="11">
        <f>SUMIFS(Monatlich!$E$4:$E$63,Monatlich!$A$4:$A$63,"Ja",Monatlich!$H$4:$H$63,"Gemeinsam",Monatlich!$D$4:$D$63,"Ausgabe",Monatlich!$J$4:$J$63,"&lt;="&amp;$A23,Monatlich!$K$4:$K$63,"&gt;="&amp;$A23)+SUMIFS(Einmalig!$E$4:$E$43,Einmalig!$A$4:$A$43,"Ja",Einmalig!$G$4:$G$43,"Gemeinsam",Einmalig!$D$4:$D$43,"Ausgabe",Einmalig!$I$4:$I$43,$A23)</f>
        <v>2500</v>
      </c>
      <c r="M23" s="12">
        <f t="shared" si="1"/>
        <v>4000</v>
      </c>
      <c r="N23" s="12">
        <f t="shared" si="2"/>
        <v>3522.3205049999997</v>
      </c>
      <c r="O23" s="11">
        <f>MAX(0,(Q22+B23+D23-H23-J23)-Annahmen!C19)</f>
        <v>4166.8605049999996</v>
      </c>
      <c r="P23" s="11">
        <f>MAX(0,(R22+C23+E23-I23-K23)-Annahmen!C20)</f>
        <v>1855.46</v>
      </c>
      <c r="Q23" s="11">
        <f t="shared" si="5"/>
        <v>0</v>
      </c>
      <c r="R23" s="11">
        <f t="shared" si="6"/>
        <v>0</v>
      </c>
      <c r="S23" s="11">
        <f t="shared" si="7"/>
        <v>93190.16656500008</v>
      </c>
      <c r="T23" s="12">
        <f t="shared" si="3"/>
        <v>93190.16656500008</v>
      </c>
    </row>
    <row r="24" spans="1:20" x14ac:dyDescent="0.2">
      <c r="A24" s="13">
        <f t="shared" si="4"/>
        <v>46661</v>
      </c>
      <c r="B24" s="14">
        <f>Annahmen!C55</f>
        <v>4916.8605049999996</v>
      </c>
      <c r="C24" s="14">
        <f>Annahmen!D55</f>
        <v>2605.46</v>
      </c>
      <c r="D24" s="15">
        <f>SUMIFS(Monatlich!$E$4:$E$63,Monatlich!$A$4:$A$63,"Ja",Monatlich!$H$4:$H$63,"Theo",Monatlich!$D$4:$D$63,"Einnahme",Monatlich!$J$4:$J$63,"&lt;="&amp;$A24,Monatlich!$K$4:$K$63,"&gt;="&amp;$A24)+SUMIFS(Einmalig!$E$4:$E$43,Einmalig!$A$4:$A$43,"Ja",Einmalig!$G$4:$G$43,"Theo",Einmalig!$D$4:$D$43,"Einnahme",Einmalig!$I$4:$I$43,$A24)</f>
        <v>0</v>
      </c>
      <c r="E24" s="15">
        <f>SUMIFS(Monatlich!$E$4:$E$63,Monatlich!$A$4:$A$63,"Ja",Monatlich!$H$4:$H$63,"Jule",Monatlich!$D$4:$D$63,"Einnahme",Monatlich!$J$4:$J$63,"&lt;="&amp;$A24,Monatlich!$K$4:$K$63,"&gt;="&amp;$A24)+SUMIFS(Einmalig!$E$4:$E$43,Einmalig!$A$4:$A$43,"Ja",Einmalig!$G$4:$G$43,"Jule",Einmalig!$D$4:$D$43,"Einnahme",Einmalig!$I$4:$I$43,$A24)</f>
        <v>0</v>
      </c>
      <c r="F24" s="15">
        <f>SUMIFS(Monatlich!$E$4:$E$63,Monatlich!$A$4:$A$63,"Ja",Monatlich!$H$4:$H$63,"Gemeinsam",Monatlich!$D$4:$D$63,"Einnahme",Monatlich!$J$4:$J$63,"&lt;="&amp;$A24,Monatlich!$K$4:$K$63,"&gt;="&amp;$A24)+SUMIFS(Einmalig!$E$4:$E$43,Einmalig!$A$4:$A$43,"Ja",Einmalig!$G$4:$G$43,"Gemeinsam",Einmalig!$D$4:$D$43,"Einnahme",Einmalig!$I$4:$I$43,$A24)</f>
        <v>0</v>
      </c>
      <c r="G24" s="12">
        <f t="shared" si="0"/>
        <v>7522.3205049999997</v>
      </c>
      <c r="H24" s="14">
        <f>Annahmen!C17</f>
        <v>750</v>
      </c>
      <c r="I24" s="14">
        <f>Annahmen!C18</f>
        <v>750</v>
      </c>
      <c r="J24" s="15">
        <f>SUMIFS(Monatlich!$E$4:$E$63,Monatlich!$A$4:$A$63,"Ja",Monatlich!$H$4:$H$63,"Theo",Monatlich!$D$4:$D$63,"Ausgabe",Monatlich!$J$4:$J$63,"&lt;="&amp;$A24,Monatlich!$K$4:$K$63,"&gt;="&amp;$A24)+SUMIFS(Einmalig!$E$4:$E$43,Einmalig!$A$4:$A$43,"Ja",Einmalig!$G$4:$G$43,"Theo",Einmalig!$D$4:$D$43,"Ausgabe",Einmalig!$I$4:$I$43,$A24)</f>
        <v>0</v>
      </c>
      <c r="K24" s="15">
        <f>SUMIFS(Monatlich!$E$4:$E$63,Monatlich!$A$4:$A$63,"Ja",Monatlich!$H$4:$H$63,"Jule",Monatlich!$D$4:$D$63,"Ausgabe",Monatlich!$J$4:$J$63,"&lt;="&amp;$A24,Monatlich!$K$4:$K$63,"&gt;="&amp;$A24)+SUMIFS(Einmalig!$E$4:$E$43,Einmalig!$A$4:$A$43,"Ja",Einmalig!$G$4:$G$43,"Jule",Einmalig!$D$4:$D$43,"Ausgabe",Einmalig!$I$4:$I$43,$A24)</f>
        <v>0</v>
      </c>
      <c r="L24" s="15">
        <f>SUMIFS(Monatlich!$E$4:$E$63,Monatlich!$A$4:$A$63,"Ja",Monatlich!$H$4:$H$63,"Gemeinsam",Monatlich!$D$4:$D$63,"Ausgabe",Monatlich!$J$4:$J$63,"&lt;="&amp;$A24,Monatlich!$K$4:$K$63,"&gt;="&amp;$A24)+SUMIFS(Einmalig!$E$4:$E$43,Einmalig!$A$4:$A$43,"Ja",Einmalig!$G$4:$G$43,"Gemeinsam",Einmalig!$D$4:$D$43,"Ausgabe",Einmalig!$I$4:$I$43,$A24)</f>
        <v>2500</v>
      </c>
      <c r="M24" s="12">
        <f t="shared" si="1"/>
        <v>4000</v>
      </c>
      <c r="N24" s="12">
        <f t="shared" si="2"/>
        <v>3522.3205049999997</v>
      </c>
      <c r="O24" s="15">
        <f>MAX(0,(Q23+B24+D24-H24-J24)-Annahmen!C19)</f>
        <v>4166.8605049999996</v>
      </c>
      <c r="P24" s="15">
        <f>MAX(0,(R23+C24+E24-I24-K24)-Annahmen!C20)</f>
        <v>1855.46</v>
      </c>
      <c r="Q24" s="15">
        <f t="shared" si="5"/>
        <v>0</v>
      </c>
      <c r="R24" s="15">
        <f t="shared" si="6"/>
        <v>0</v>
      </c>
      <c r="S24" s="15">
        <f t="shared" si="7"/>
        <v>96712.48707000009</v>
      </c>
      <c r="T24" s="12">
        <f t="shared" si="3"/>
        <v>96712.48707000009</v>
      </c>
    </row>
    <row r="25" spans="1:20" x14ac:dyDescent="0.2">
      <c r="A25" s="16">
        <f t="shared" si="4"/>
        <v>46692</v>
      </c>
      <c r="B25" s="10">
        <f>Annahmen!C55</f>
        <v>4916.8605049999996</v>
      </c>
      <c r="C25" s="10">
        <f>Annahmen!D55</f>
        <v>2605.46</v>
      </c>
      <c r="D25" s="11">
        <f>SUMIFS(Monatlich!$E$4:$E$63,Monatlich!$A$4:$A$63,"Ja",Monatlich!$H$4:$H$63,"Theo",Monatlich!$D$4:$D$63,"Einnahme",Monatlich!$J$4:$J$63,"&lt;="&amp;$A25,Monatlich!$K$4:$K$63,"&gt;="&amp;$A25)+SUMIFS(Einmalig!$E$4:$E$43,Einmalig!$A$4:$A$43,"Ja",Einmalig!$G$4:$G$43,"Theo",Einmalig!$D$4:$D$43,"Einnahme",Einmalig!$I$4:$I$43,$A25)</f>
        <v>900</v>
      </c>
      <c r="E25" s="11">
        <f>SUMIFS(Monatlich!$E$4:$E$63,Monatlich!$A$4:$A$63,"Ja",Monatlich!$H$4:$H$63,"Jule",Monatlich!$D$4:$D$63,"Einnahme",Monatlich!$J$4:$J$63,"&lt;="&amp;$A25,Monatlich!$K$4:$K$63,"&gt;="&amp;$A25)+SUMIFS(Einmalig!$E$4:$E$43,Einmalig!$A$4:$A$43,"Ja",Einmalig!$G$4:$G$43,"Jule",Einmalig!$D$4:$D$43,"Einnahme",Einmalig!$I$4:$I$43,$A25)</f>
        <v>0</v>
      </c>
      <c r="F25" s="11">
        <f>SUMIFS(Monatlich!$E$4:$E$63,Monatlich!$A$4:$A$63,"Ja",Monatlich!$H$4:$H$63,"Gemeinsam",Monatlich!$D$4:$D$63,"Einnahme",Monatlich!$J$4:$J$63,"&lt;="&amp;$A25,Monatlich!$K$4:$K$63,"&gt;="&amp;$A25)+SUMIFS(Einmalig!$E$4:$E$43,Einmalig!$A$4:$A$43,"Ja",Einmalig!$G$4:$G$43,"Gemeinsam",Einmalig!$D$4:$D$43,"Einnahme",Einmalig!$I$4:$I$43,$A25)</f>
        <v>0</v>
      </c>
      <c r="G25" s="12">
        <f t="shared" si="0"/>
        <v>8422.3205049999997</v>
      </c>
      <c r="H25" s="10">
        <f>Annahmen!C17</f>
        <v>750</v>
      </c>
      <c r="I25" s="10">
        <f>Annahmen!C18</f>
        <v>750</v>
      </c>
      <c r="J25" s="11">
        <f>SUMIFS(Monatlich!$E$4:$E$63,Monatlich!$A$4:$A$63,"Ja",Monatlich!$H$4:$H$63,"Theo",Monatlich!$D$4:$D$63,"Ausgabe",Monatlich!$J$4:$J$63,"&lt;="&amp;$A25,Monatlich!$K$4:$K$63,"&gt;="&amp;$A25)+SUMIFS(Einmalig!$E$4:$E$43,Einmalig!$A$4:$A$43,"Ja",Einmalig!$G$4:$G$43,"Theo",Einmalig!$D$4:$D$43,"Ausgabe",Einmalig!$I$4:$I$43,$A25)</f>
        <v>0</v>
      </c>
      <c r="K25" s="11">
        <f>SUMIFS(Monatlich!$E$4:$E$63,Monatlich!$A$4:$A$63,"Ja",Monatlich!$H$4:$H$63,"Jule",Monatlich!$D$4:$D$63,"Ausgabe",Monatlich!$J$4:$J$63,"&lt;="&amp;$A25,Monatlich!$K$4:$K$63,"&gt;="&amp;$A25)+SUMIFS(Einmalig!$E$4:$E$43,Einmalig!$A$4:$A$43,"Ja",Einmalig!$G$4:$G$43,"Jule",Einmalig!$D$4:$D$43,"Ausgabe",Einmalig!$I$4:$I$43,$A25)</f>
        <v>0</v>
      </c>
      <c r="L25" s="11">
        <f>SUMIFS(Monatlich!$E$4:$E$63,Monatlich!$A$4:$A$63,"Ja",Monatlich!$H$4:$H$63,"Gemeinsam",Monatlich!$D$4:$D$63,"Ausgabe",Monatlich!$J$4:$J$63,"&lt;="&amp;$A25,Monatlich!$K$4:$K$63,"&gt;="&amp;$A25)+SUMIFS(Einmalig!$E$4:$E$43,Einmalig!$A$4:$A$43,"Ja",Einmalig!$G$4:$G$43,"Gemeinsam",Einmalig!$D$4:$D$43,"Ausgabe",Einmalig!$I$4:$I$43,$A25)</f>
        <v>18500</v>
      </c>
      <c r="M25" s="12">
        <f t="shared" si="1"/>
        <v>20000</v>
      </c>
      <c r="N25" s="12">
        <f t="shared" si="2"/>
        <v>-11577.679495</v>
      </c>
      <c r="O25" s="11">
        <f>MAX(0,(Q24+B25+D25-H25-J25)-Annahmen!C19)</f>
        <v>5066.8605049999996</v>
      </c>
      <c r="P25" s="11">
        <f>MAX(0,(R24+C25+E25-I25-K25)-Annahmen!C20)</f>
        <v>1855.46</v>
      </c>
      <c r="Q25" s="11">
        <f t="shared" si="5"/>
        <v>0</v>
      </c>
      <c r="R25" s="11">
        <f t="shared" si="6"/>
        <v>0</v>
      </c>
      <c r="S25" s="11">
        <f t="shared" si="7"/>
        <v>85134.807575000101</v>
      </c>
      <c r="T25" s="12">
        <f t="shared" si="3"/>
        <v>85134.807575000101</v>
      </c>
    </row>
    <row r="26" spans="1:20" x14ac:dyDescent="0.2">
      <c r="A26" s="13">
        <f t="shared" si="4"/>
        <v>46722</v>
      </c>
      <c r="B26" s="14">
        <f>Annahmen!C55</f>
        <v>4916.8605049999996</v>
      </c>
      <c r="C26" s="14">
        <f>Annahmen!D55</f>
        <v>2605.46</v>
      </c>
      <c r="D26" s="15">
        <f>SUMIFS(Monatlich!$E$4:$E$63,Monatlich!$A$4:$A$63,"Ja",Monatlich!$H$4:$H$63,"Theo",Monatlich!$D$4:$D$63,"Einnahme",Monatlich!$J$4:$J$63,"&lt;="&amp;$A26,Monatlich!$K$4:$K$63,"&gt;="&amp;$A26)+SUMIFS(Einmalig!$E$4:$E$43,Einmalig!$A$4:$A$43,"Ja",Einmalig!$G$4:$G$43,"Theo",Einmalig!$D$4:$D$43,"Einnahme",Einmalig!$I$4:$I$43,$A26)</f>
        <v>0</v>
      </c>
      <c r="E26" s="15">
        <f>SUMIFS(Monatlich!$E$4:$E$63,Monatlich!$A$4:$A$63,"Ja",Monatlich!$H$4:$H$63,"Jule",Monatlich!$D$4:$D$63,"Einnahme",Monatlich!$J$4:$J$63,"&lt;="&amp;$A26,Monatlich!$K$4:$K$63,"&gt;="&amp;$A26)+SUMIFS(Einmalig!$E$4:$E$43,Einmalig!$A$4:$A$43,"Ja",Einmalig!$G$4:$G$43,"Jule",Einmalig!$D$4:$D$43,"Einnahme",Einmalig!$I$4:$I$43,$A26)</f>
        <v>0</v>
      </c>
      <c r="F26" s="15">
        <f>SUMIFS(Monatlich!$E$4:$E$63,Monatlich!$A$4:$A$63,"Ja",Monatlich!$H$4:$H$63,"Gemeinsam",Monatlich!$D$4:$D$63,"Einnahme",Monatlich!$J$4:$J$63,"&lt;="&amp;$A26,Monatlich!$K$4:$K$63,"&gt;="&amp;$A26)+SUMIFS(Einmalig!$E$4:$E$43,Einmalig!$A$4:$A$43,"Ja",Einmalig!$G$4:$G$43,"Gemeinsam",Einmalig!$D$4:$D$43,"Einnahme",Einmalig!$I$4:$I$43,$A26)</f>
        <v>0</v>
      </c>
      <c r="G26" s="12">
        <f t="shared" si="0"/>
        <v>7522.3205049999997</v>
      </c>
      <c r="H26" s="14">
        <f>Annahmen!C17</f>
        <v>750</v>
      </c>
      <c r="I26" s="14">
        <f>Annahmen!C18</f>
        <v>750</v>
      </c>
      <c r="J26" s="15">
        <f>SUMIFS(Monatlich!$E$4:$E$63,Monatlich!$A$4:$A$63,"Ja",Monatlich!$H$4:$H$63,"Theo",Monatlich!$D$4:$D$63,"Ausgabe",Monatlich!$J$4:$J$63,"&lt;="&amp;$A26,Monatlich!$K$4:$K$63,"&gt;="&amp;$A26)+SUMIFS(Einmalig!$E$4:$E$43,Einmalig!$A$4:$A$43,"Ja",Einmalig!$G$4:$G$43,"Theo",Einmalig!$D$4:$D$43,"Ausgabe",Einmalig!$I$4:$I$43,$A26)</f>
        <v>0</v>
      </c>
      <c r="K26" s="15">
        <f>SUMIFS(Monatlich!$E$4:$E$63,Monatlich!$A$4:$A$63,"Ja",Monatlich!$H$4:$H$63,"Jule",Monatlich!$D$4:$D$63,"Ausgabe",Monatlich!$J$4:$J$63,"&lt;="&amp;$A26,Monatlich!$K$4:$K$63,"&gt;="&amp;$A26)+SUMIFS(Einmalig!$E$4:$E$43,Einmalig!$A$4:$A$43,"Ja",Einmalig!$G$4:$G$43,"Jule",Einmalig!$D$4:$D$43,"Ausgabe",Einmalig!$I$4:$I$43,$A26)</f>
        <v>0</v>
      </c>
      <c r="L26" s="15">
        <f>SUMIFS(Monatlich!$E$4:$E$63,Monatlich!$A$4:$A$63,"Ja",Monatlich!$H$4:$H$63,"Gemeinsam",Monatlich!$D$4:$D$63,"Ausgabe",Monatlich!$J$4:$J$63,"&lt;="&amp;$A26,Monatlich!$K$4:$K$63,"&gt;="&amp;$A26)+SUMIFS(Einmalig!$E$4:$E$43,Einmalig!$A$4:$A$43,"Ja",Einmalig!$G$4:$G$43,"Gemeinsam",Einmalig!$D$4:$D$43,"Ausgabe",Einmalig!$I$4:$I$43,$A26)</f>
        <v>2500</v>
      </c>
      <c r="M26" s="12">
        <f t="shared" si="1"/>
        <v>4000</v>
      </c>
      <c r="N26" s="12">
        <f t="shared" si="2"/>
        <v>3522.3205049999997</v>
      </c>
      <c r="O26" s="15">
        <f>MAX(0,(Q25+B26+D26-H26-J26)-Annahmen!C19)</f>
        <v>4166.8605049999996</v>
      </c>
      <c r="P26" s="15">
        <f>MAX(0,(R25+C26+E26-I26-K26)-Annahmen!C20)</f>
        <v>1855.46</v>
      </c>
      <c r="Q26" s="15">
        <f t="shared" si="5"/>
        <v>0</v>
      </c>
      <c r="R26" s="15">
        <f t="shared" si="6"/>
        <v>0</v>
      </c>
      <c r="S26" s="15">
        <f t="shared" si="7"/>
        <v>88657.128080000111</v>
      </c>
      <c r="T26" s="12">
        <f t="shared" si="3"/>
        <v>88657.128080000111</v>
      </c>
    </row>
    <row r="27" spans="1:20" x14ac:dyDescent="0.2">
      <c r="A27" s="16">
        <f t="shared" si="4"/>
        <v>46753</v>
      </c>
      <c r="B27" s="10">
        <f>Annahmen!C55</f>
        <v>4916.8605049999996</v>
      </c>
      <c r="C27" s="10">
        <f>Annahmen!D55</f>
        <v>2605.46</v>
      </c>
      <c r="D27" s="11">
        <f>SUMIFS(Monatlich!$E$4:$E$63,Monatlich!$A$4:$A$63,"Ja",Monatlich!$H$4:$H$63,"Theo",Monatlich!$D$4:$D$63,"Einnahme",Monatlich!$J$4:$J$63,"&lt;="&amp;$A27,Monatlich!$K$4:$K$63,"&gt;="&amp;$A27)+SUMIFS(Einmalig!$E$4:$E$43,Einmalig!$A$4:$A$43,"Ja",Einmalig!$G$4:$G$43,"Theo",Einmalig!$D$4:$D$43,"Einnahme",Einmalig!$I$4:$I$43,$A27)</f>
        <v>0</v>
      </c>
      <c r="E27" s="11">
        <f>SUMIFS(Monatlich!$E$4:$E$63,Monatlich!$A$4:$A$63,"Ja",Monatlich!$H$4:$H$63,"Jule",Monatlich!$D$4:$D$63,"Einnahme",Monatlich!$J$4:$J$63,"&lt;="&amp;$A27,Monatlich!$K$4:$K$63,"&gt;="&amp;$A27)+SUMIFS(Einmalig!$E$4:$E$43,Einmalig!$A$4:$A$43,"Ja",Einmalig!$G$4:$G$43,"Jule",Einmalig!$D$4:$D$43,"Einnahme",Einmalig!$I$4:$I$43,$A27)</f>
        <v>0</v>
      </c>
      <c r="F27" s="11">
        <f>SUMIFS(Monatlich!$E$4:$E$63,Monatlich!$A$4:$A$63,"Ja",Monatlich!$H$4:$H$63,"Gemeinsam",Monatlich!$D$4:$D$63,"Einnahme",Monatlich!$J$4:$J$63,"&lt;="&amp;$A27,Monatlich!$K$4:$K$63,"&gt;="&amp;$A27)+SUMIFS(Einmalig!$E$4:$E$43,Einmalig!$A$4:$A$43,"Ja",Einmalig!$G$4:$G$43,"Gemeinsam",Einmalig!$D$4:$D$43,"Einnahme",Einmalig!$I$4:$I$43,$A27)</f>
        <v>0</v>
      </c>
      <c r="G27" s="12">
        <f t="shared" si="0"/>
        <v>7522.3205049999997</v>
      </c>
      <c r="H27" s="10">
        <f>Annahmen!C17</f>
        <v>750</v>
      </c>
      <c r="I27" s="10">
        <f>Annahmen!C18</f>
        <v>750</v>
      </c>
      <c r="J27" s="11">
        <f>SUMIFS(Monatlich!$E$4:$E$63,Monatlich!$A$4:$A$63,"Ja",Monatlich!$H$4:$H$63,"Theo",Monatlich!$D$4:$D$63,"Ausgabe",Monatlich!$J$4:$J$63,"&lt;="&amp;$A27,Monatlich!$K$4:$K$63,"&gt;="&amp;$A27)+SUMIFS(Einmalig!$E$4:$E$43,Einmalig!$A$4:$A$43,"Ja",Einmalig!$G$4:$G$43,"Theo",Einmalig!$D$4:$D$43,"Ausgabe",Einmalig!$I$4:$I$43,$A27)</f>
        <v>0</v>
      </c>
      <c r="K27" s="11">
        <f>SUMIFS(Monatlich!$E$4:$E$63,Monatlich!$A$4:$A$63,"Ja",Monatlich!$H$4:$H$63,"Jule",Monatlich!$D$4:$D$63,"Ausgabe",Monatlich!$J$4:$J$63,"&lt;="&amp;$A27,Monatlich!$K$4:$K$63,"&gt;="&amp;$A27)+SUMIFS(Einmalig!$E$4:$E$43,Einmalig!$A$4:$A$43,"Ja",Einmalig!$G$4:$G$43,"Jule",Einmalig!$D$4:$D$43,"Ausgabe",Einmalig!$I$4:$I$43,$A27)</f>
        <v>0</v>
      </c>
      <c r="L27" s="11">
        <f>SUMIFS(Monatlich!$E$4:$E$63,Monatlich!$A$4:$A$63,"Ja",Monatlich!$H$4:$H$63,"Gemeinsam",Monatlich!$D$4:$D$63,"Ausgabe",Monatlich!$J$4:$J$63,"&lt;="&amp;$A27,Monatlich!$K$4:$K$63,"&gt;="&amp;$A27)+SUMIFS(Einmalig!$E$4:$E$43,Einmalig!$A$4:$A$43,"Ja",Einmalig!$G$4:$G$43,"Gemeinsam",Einmalig!$D$4:$D$43,"Ausgabe",Einmalig!$I$4:$I$43,$A27)</f>
        <v>2500</v>
      </c>
      <c r="M27" s="12">
        <f t="shared" si="1"/>
        <v>4000</v>
      </c>
      <c r="N27" s="12">
        <f t="shared" si="2"/>
        <v>3522.3205049999997</v>
      </c>
      <c r="O27" s="11">
        <f>MAX(0,(Q26+B27+D27-H27-J27)-Annahmen!C19)</f>
        <v>4166.8605049999996</v>
      </c>
      <c r="P27" s="11">
        <f>MAX(0,(R26+C27+E27-I27-K27)-Annahmen!C20)</f>
        <v>1855.46</v>
      </c>
      <c r="Q27" s="11">
        <f t="shared" si="5"/>
        <v>0</v>
      </c>
      <c r="R27" s="11">
        <f t="shared" si="6"/>
        <v>0</v>
      </c>
      <c r="S27" s="11">
        <f t="shared" si="7"/>
        <v>92179.448585000122</v>
      </c>
      <c r="T27" s="12">
        <f t="shared" si="3"/>
        <v>92179.448585000122</v>
      </c>
    </row>
    <row r="28" spans="1:20" x14ac:dyDescent="0.2">
      <c r="A28" s="13">
        <f t="shared" si="4"/>
        <v>46784</v>
      </c>
      <c r="B28" s="14">
        <f>Annahmen!C55</f>
        <v>4916.8605049999996</v>
      </c>
      <c r="C28" s="14">
        <f>Annahmen!D55</f>
        <v>2605.46</v>
      </c>
      <c r="D28" s="15">
        <f>SUMIFS(Monatlich!$E$4:$E$63,Monatlich!$A$4:$A$63,"Ja",Monatlich!$H$4:$H$63,"Theo",Monatlich!$D$4:$D$63,"Einnahme",Monatlich!$J$4:$J$63,"&lt;="&amp;$A28,Monatlich!$K$4:$K$63,"&gt;="&amp;$A28)+SUMIFS(Einmalig!$E$4:$E$43,Einmalig!$A$4:$A$43,"Ja",Einmalig!$G$4:$G$43,"Theo",Einmalig!$D$4:$D$43,"Einnahme",Einmalig!$I$4:$I$43,$A28)</f>
        <v>0</v>
      </c>
      <c r="E28" s="15">
        <f>SUMIFS(Monatlich!$E$4:$E$63,Monatlich!$A$4:$A$63,"Ja",Monatlich!$H$4:$H$63,"Jule",Monatlich!$D$4:$D$63,"Einnahme",Monatlich!$J$4:$J$63,"&lt;="&amp;$A28,Monatlich!$K$4:$K$63,"&gt;="&amp;$A28)+SUMIFS(Einmalig!$E$4:$E$43,Einmalig!$A$4:$A$43,"Ja",Einmalig!$G$4:$G$43,"Jule",Einmalig!$D$4:$D$43,"Einnahme",Einmalig!$I$4:$I$43,$A28)</f>
        <v>0</v>
      </c>
      <c r="F28" s="15">
        <f>SUMIFS(Monatlich!$E$4:$E$63,Monatlich!$A$4:$A$63,"Ja",Monatlich!$H$4:$H$63,"Gemeinsam",Monatlich!$D$4:$D$63,"Einnahme",Monatlich!$J$4:$J$63,"&lt;="&amp;$A28,Monatlich!$K$4:$K$63,"&gt;="&amp;$A28)+SUMIFS(Einmalig!$E$4:$E$43,Einmalig!$A$4:$A$43,"Ja",Einmalig!$G$4:$G$43,"Gemeinsam",Einmalig!$D$4:$D$43,"Einnahme",Einmalig!$I$4:$I$43,$A28)</f>
        <v>0</v>
      </c>
      <c r="G28" s="12">
        <f t="shared" si="0"/>
        <v>7522.3205049999997</v>
      </c>
      <c r="H28" s="14">
        <f>Annahmen!C17</f>
        <v>750</v>
      </c>
      <c r="I28" s="14">
        <f>Annahmen!C18</f>
        <v>750</v>
      </c>
      <c r="J28" s="15">
        <f>SUMIFS(Monatlich!$E$4:$E$63,Monatlich!$A$4:$A$63,"Ja",Monatlich!$H$4:$H$63,"Theo",Monatlich!$D$4:$D$63,"Ausgabe",Monatlich!$J$4:$J$63,"&lt;="&amp;$A28,Monatlich!$K$4:$K$63,"&gt;="&amp;$A28)+SUMIFS(Einmalig!$E$4:$E$43,Einmalig!$A$4:$A$43,"Ja",Einmalig!$G$4:$G$43,"Theo",Einmalig!$D$4:$D$43,"Ausgabe",Einmalig!$I$4:$I$43,$A28)</f>
        <v>0</v>
      </c>
      <c r="K28" s="15">
        <f>SUMIFS(Monatlich!$E$4:$E$63,Monatlich!$A$4:$A$63,"Ja",Monatlich!$H$4:$H$63,"Jule",Monatlich!$D$4:$D$63,"Ausgabe",Monatlich!$J$4:$J$63,"&lt;="&amp;$A28,Monatlich!$K$4:$K$63,"&gt;="&amp;$A28)+SUMIFS(Einmalig!$E$4:$E$43,Einmalig!$A$4:$A$43,"Ja",Einmalig!$G$4:$G$43,"Jule",Einmalig!$D$4:$D$43,"Ausgabe",Einmalig!$I$4:$I$43,$A28)</f>
        <v>0</v>
      </c>
      <c r="L28" s="15">
        <f>SUMIFS(Monatlich!$E$4:$E$63,Monatlich!$A$4:$A$63,"Ja",Monatlich!$H$4:$H$63,"Gemeinsam",Monatlich!$D$4:$D$63,"Ausgabe",Monatlich!$J$4:$J$63,"&lt;="&amp;$A28,Monatlich!$K$4:$K$63,"&gt;="&amp;$A28)+SUMIFS(Einmalig!$E$4:$E$43,Einmalig!$A$4:$A$43,"Ja",Einmalig!$G$4:$G$43,"Gemeinsam",Einmalig!$D$4:$D$43,"Ausgabe",Einmalig!$I$4:$I$43,$A28)</f>
        <v>2500</v>
      </c>
      <c r="M28" s="12">
        <f t="shared" si="1"/>
        <v>4000</v>
      </c>
      <c r="N28" s="12">
        <f t="shared" si="2"/>
        <v>3522.3205049999997</v>
      </c>
      <c r="O28" s="15">
        <f>MAX(0,(Q27+B28+D28-H28-J28)-Annahmen!C19)</f>
        <v>4166.8605049999996</v>
      </c>
      <c r="P28" s="15">
        <f>MAX(0,(R27+C28+E28-I28-K28)-Annahmen!C20)</f>
        <v>1855.46</v>
      </c>
      <c r="Q28" s="15">
        <f t="shared" si="5"/>
        <v>0</v>
      </c>
      <c r="R28" s="15">
        <f t="shared" si="6"/>
        <v>0</v>
      </c>
      <c r="S28" s="15">
        <f t="shared" si="7"/>
        <v>95701.769090000133</v>
      </c>
      <c r="T28" s="12">
        <f t="shared" si="3"/>
        <v>95701.769090000133</v>
      </c>
    </row>
    <row r="29" spans="1:20" x14ac:dyDescent="0.2">
      <c r="A29" s="16">
        <f t="shared" si="4"/>
        <v>46813</v>
      </c>
      <c r="B29" s="10">
        <f>Annahmen!C55</f>
        <v>4916.8605049999996</v>
      </c>
      <c r="C29" s="10">
        <f>Annahmen!D55</f>
        <v>2605.46</v>
      </c>
      <c r="D29" s="11">
        <f>SUMIFS(Monatlich!$E$4:$E$63,Monatlich!$A$4:$A$63,"Ja",Monatlich!$H$4:$H$63,"Theo",Monatlich!$D$4:$D$63,"Einnahme",Monatlich!$J$4:$J$63,"&lt;="&amp;$A29,Monatlich!$K$4:$K$63,"&gt;="&amp;$A29)+SUMIFS(Einmalig!$E$4:$E$43,Einmalig!$A$4:$A$43,"Ja",Einmalig!$G$4:$G$43,"Theo",Einmalig!$D$4:$D$43,"Einnahme",Einmalig!$I$4:$I$43,$A29)</f>
        <v>0</v>
      </c>
      <c r="E29" s="11">
        <f>SUMIFS(Monatlich!$E$4:$E$63,Monatlich!$A$4:$A$63,"Ja",Monatlich!$H$4:$H$63,"Jule",Monatlich!$D$4:$D$63,"Einnahme",Monatlich!$J$4:$J$63,"&lt;="&amp;$A29,Monatlich!$K$4:$K$63,"&gt;="&amp;$A29)+SUMIFS(Einmalig!$E$4:$E$43,Einmalig!$A$4:$A$43,"Ja",Einmalig!$G$4:$G$43,"Jule",Einmalig!$D$4:$D$43,"Einnahme",Einmalig!$I$4:$I$43,$A29)</f>
        <v>0</v>
      </c>
      <c r="F29" s="11">
        <f>SUMIFS(Monatlich!$E$4:$E$63,Monatlich!$A$4:$A$63,"Ja",Monatlich!$H$4:$H$63,"Gemeinsam",Monatlich!$D$4:$D$63,"Einnahme",Monatlich!$J$4:$J$63,"&lt;="&amp;$A29,Monatlich!$K$4:$K$63,"&gt;="&amp;$A29)+SUMIFS(Einmalig!$E$4:$E$43,Einmalig!$A$4:$A$43,"Ja",Einmalig!$G$4:$G$43,"Gemeinsam",Einmalig!$D$4:$D$43,"Einnahme",Einmalig!$I$4:$I$43,$A29)</f>
        <v>0</v>
      </c>
      <c r="G29" s="12">
        <f t="shared" si="0"/>
        <v>7522.3205049999997</v>
      </c>
      <c r="H29" s="10">
        <f>Annahmen!C17</f>
        <v>750</v>
      </c>
      <c r="I29" s="10">
        <f>Annahmen!C18</f>
        <v>750</v>
      </c>
      <c r="J29" s="11">
        <f>SUMIFS(Monatlich!$E$4:$E$63,Monatlich!$A$4:$A$63,"Ja",Monatlich!$H$4:$H$63,"Theo",Monatlich!$D$4:$D$63,"Ausgabe",Monatlich!$J$4:$J$63,"&lt;="&amp;$A29,Monatlich!$K$4:$K$63,"&gt;="&amp;$A29)+SUMIFS(Einmalig!$E$4:$E$43,Einmalig!$A$4:$A$43,"Ja",Einmalig!$G$4:$G$43,"Theo",Einmalig!$D$4:$D$43,"Ausgabe",Einmalig!$I$4:$I$43,$A29)</f>
        <v>0</v>
      </c>
      <c r="K29" s="11">
        <f>SUMIFS(Monatlich!$E$4:$E$63,Monatlich!$A$4:$A$63,"Ja",Monatlich!$H$4:$H$63,"Jule",Monatlich!$D$4:$D$63,"Ausgabe",Monatlich!$J$4:$J$63,"&lt;="&amp;$A29,Monatlich!$K$4:$K$63,"&gt;="&amp;$A29)+SUMIFS(Einmalig!$E$4:$E$43,Einmalig!$A$4:$A$43,"Ja",Einmalig!$G$4:$G$43,"Jule",Einmalig!$D$4:$D$43,"Ausgabe",Einmalig!$I$4:$I$43,$A29)</f>
        <v>0</v>
      </c>
      <c r="L29" s="11">
        <f>SUMIFS(Monatlich!$E$4:$E$63,Monatlich!$A$4:$A$63,"Ja",Monatlich!$H$4:$H$63,"Gemeinsam",Monatlich!$D$4:$D$63,"Ausgabe",Monatlich!$J$4:$J$63,"&lt;="&amp;$A29,Monatlich!$K$4:$K$63,"&gt;="&amp;$A29)+SUMIFS(Einmalig!$E$4:$E$43,Einmalig!$A$4:$A$43,"Ja",Einmalig!$G$4:$G$43,"Gemeinsam",Einmalig!$D$4:$D$43,"Ausgabe",Einmalig!$I$4:$I$43,$A29)</f>
        <v>2500</v>
      </c>
      <c r="M29" s="12">
        <f t="shared" si="1"/>
        <v>4000</v>
      </c>
      <c r="N29" s="12">
        <f t="shared" si="2"/>
        <v>3522.3205049999997</v>
      </c>
      <c r="O29" s="11">
        <f>MAX(0,(Q28+B29+D29-H29-J29)-Annahmen!C19)</f>
        <v>4166.8605049999996</v>
      </c>
      <c r="P29" s="11">
        <f>MAX(0,(R28+C29+E29-I29-K29)-Annahmen!C20)</f>
        <v>1855.46</v>
      </c>
      <c r="Q29" s="11">
        <f t="shared" si="5"/>
        <v>0</v>
      </c>
      <c r="R29" s="11">
        <f t="shared" si="6"/>
        <v>0</v>
      </c>
      <c r="S29" s="11">
        <f t="shared" si="7"/>
        <v>99224.089595000143</v>
      </c>
      <c r="T29" s="12">
        <f t="shared" si="3"/>
        <v>99224.089595000143</v>
      </c>
    </row>
    <row r="30" spans="1:20" x14ac:dyDescent="0.2">
      <c r="A30" s="13">
        <f t="shared" si="4"/>
        <v>46844</v>
      </c>
      <c r="B30" s="14">
        <f>Annahmen!C55</f>
        <v>4916.8605049999996</v>
      </c>
      <c r="C30" s="14">
        <f>Annahmen!D55</f>
        <v>2605.46</v>
      </c>
      <c r="D30" s="15">
        <f>SUMIFS(Monatlich!$E$4:$E$63,Monatlich!$A$4:$A$63,"Ja",Monatlich!$H$4:$H$63,"Theo",Monatlich!$D$4:$D$63,"Einnahme",Monatlich!$J$4:$J$63,"&lt;="&amp;$A30,Monatlich!$K$4:$K$63,"&gt;="&amp;$A30)+SUMIFS(Einmalig!$E$4:$E$43,Einmalig!$A$4:$A$43,"Ja",Einmalig!$G$4:$G$43,"Theo",Einmalig!$D$4:$D$43,"Einnahme",Einmalig!$I$4:$I$43,$A30)</f>
        <v>0</v>
      </c>
      <c r="E30" s="15">
        <f>SUMIFS(Monatlich!$E$4:$E$63,Monatlich!$A$4:$A$63,"Ja",Monatlich!$H$4:$H$63,"Jule",Monatlich!$D$4:$D$63,"Einnahme",Monatlich!$J$4:$J$63,"&lt;="&amp;$A30,Monatlich!$K$4:$K$63,"&gt;="&amp;$A30)+SUMIFS(Einmalig!$E$4:$E$43,Einmalig!$A$4:$A$43,"Ja",Einmalig!$G$4:$G$43,"Jule",Einmalig!$D$4:$D$43,"Einnahme",Einmalig!$I$4:$I$43,$A30)</f>
        <v>0</v>
      </c>
      <c r="F30" s="15">
        <f>SUMIFS(Monatlich!$E$4:$E$63,Monatlich!$A$4:$A$63,"Ja",Monatlich!$H$4:$H$63,"Gemeinsam",Monatlich!$D$4:$D$63,"Einnahme",Monatlich!$J$4:$J$63,"&lt;="&amp;$A30,Monatlich!$K$4:$K$63,"&gt;="&amp;$A30)+SUMIFS(Einmalig!$E$4:$E$43,Einmalig!$A$4:$A$43,"Ja",Einmalig!$G$4:$G$43,"Gemeinsam",Einmalig!$D$4:$D$43,"Einnahme",Einmalig!$I$4:$I$43,$A30)</f>
        <v>0</v>
      </c>
      <c r="G30" s="12">
        <f t="shared" si="0"/>
        <v>7522.3205049999997</v>
      </c>
      <c r="H30" s="14">
        <f>Annahmen!C17</f>
        <v>750</v>
      </c>
      <c r="I30" s="14">
        <f>Annahmen!C18</f>
        <v>750</v>
      </c>
      <c r="J30" s="15">
        <f>SUMIFS(Monatlich!$E$4:$E$63,Monatlich!$A$4:$A$63,"Ja",Monatlich!$H$4:$H$63,"Theo",Monatlich!$D$4:$D$63,"Ausgabe",Monatlich!$J$4:$J$63,"&lt;="&amp;$A30,Monatlich!$K$4:$K$63,"&gt;="&amp;$A30)+SUMIFS(Einmalig!$E$4:$E$43,Einmalig!$A$4:$A$43,"Ja",Einmalig!$G$4:$G$43,"Theo",Einmalig!$D$4:$D$43,"Ausgabe",Einmalig!$I$4:$I$43,$A30)</f>
        <v>0</v>
      </c>
      <c r="K30" s="15">
        <f>SUMIFS(Monatlich!$E$4:$E$63,Monatlich!$A$4:$A$63,"Ja",Monatlich!$H$4:$H$63,"Jule",Monatlich!$D$4:$D$63,"Ausgabe",Monatlich!$J$4:$J$63,"&lt;="&amp;$A30,Monatlich!$K$4:$K$63,"&gt;="&amp;$A30)+SUMIFS(Einmalig!$E$4:$E$43,Einmalig!$A$4:$A$43,"Ja",Einmalig!$G$4:$G$43,"Jule",Einmalig!$D$4:$D$43,"Ausgabe",Einmalig!$I$4:$I$43,$A30)</f>
        <v>0</v>
      </c>
      <c r="L30" s="15">
        <f>SUMIFS(Monatlich!$E$4:$E$63,Monatlich!$A$4:$A$63,"Ja",Monatlich!$H$4:$H$63,"Gemeinsam",Monatlich!$D$4:$D$63,"Ausgabe",Monatlich!$J$4:$J$63,"&lt;="&amp;$A30,Monatlich!$K$4:$K$63,"&gt;="&amp;$A30)+SUMIFS(Einmalig!$E$4:$E$43,Einmalig!$A$4:$A$43,"Ja",Einmalig!$G$4:$G$43,"Gemeinsam",Einmalig!$D$4:$D$43,"Ausgabe",Einmalig!$I$4:$I$43,$A30)</f>
        <v>2500</v>
      </c>
      <c r="M30" s="12">
        <f t="shared" si="1"/>
        <v>4000</v>
      </c>
      <c r="N30" s="12">
        <f t="shared" si="2"/>
        <v>3522.3205049999997</v>
      </c>
      <c r="O30" s="15">
        <f>MAX(0,(Q29+B30+D30-H30-J30)-Annahmen!C19)</f>
        <v>4166.8605049999996</v>
      </c>
      <c r="P30" s="15">
        <f>MAX(0,(R29+C30+E30-I30-K30)-Annahmen!C20)</f>
        <v>1855.46</v>
      </c>
      <c r="Q30" s="15">
        <f t="shared" si="5"/>
        <v>0</v>
      </c>
      <c r="R30" s="15">
        <f t="shared" si="6"/>
        <v>0</v>
      </c>
      <c r="S30" s="15">
        <f t="shared" si="7"/>
        <v>102746.41010000015</v>
      </c>
      <c r="T30" s="12">
        <f t="shared" si="3"/>
        <v>102746.41010000015</v>
      </c>
    </row>
    <row r="31" spans="1:20" x14ac:dyDescent="0.2">
      <c r="A31" s="16">
        <f t="shared" si="4"/>
        <v>46874</v>
      </c>
      <c r="B31" s="10">
        <f>Annahmen!C55</f>
        <v>4916.8605049999996</v>
      </c>
      <c r="C31" s="10">
        <f>Annahmen!D55</f>
        <v>2605.46</v>
      </c>
      <c r="D31" s="11">
        <f>SUMIFS(Monatlich!$E$4:$E$63,Monatlich!$A$4:$A$63,"Ja",Monatlich!$H$4:$H$63,"Theo",Monatlich!$D$4:$D$63,"Einnahme",Monatlich!$J$4:$J$63,"&lt;="&amp;$A31,Monatlich!$K$4:$K$63,"&gt;="&amp;$A31)+SUMIFS(Einmalig!$E$4:$E$43,Einmalig!$A$4:$A$43,"Ja",Einmalig!$G$4:$G$43,"Theo",Einmalig!$D$4:$D$43,"Einnahme",Einmalig!$I$4:$I$43,$A31)</f>
        <v>0</v>
      </c>
      <c r="E31" s="11">
        <f>SUMIFS(Monatlich!$E$4:$E$63,Monatlich!$A$4:$A$63,"Ja",Monatlich!$H$4:$H$63,"Jule",Monatlich!$D$4:$D$63,"Einnahme",Monatlich!$J$4:$J$63,"&lt;="&amp;$A31,Monatlich!$K$4:$K$63,"&gt;="&amp;$A31)+SUMIFS(Einmalig!$E$4:$E$43,Einmalig!$A$4:$A$43,"Ja",Einmalig!$G$4:$G$43,"Jule",Einmalig!$D$4:$D$43,"Einnahme",Einmalig!$I$4:$I$43,$A31)</f>
        <v>0</v>
      </c>
      <c r="F31" s="11">
        <f>SUMIFS(Monatlich!$E$4:$E$63,Monatlich!$A$4:$A$63,"Ja",Monatlich!$H$4:$H$63,"Gemeinsam",Monatlich!$D$4:$D$63,"Einnahme",Monatlich!$J$4:$J$63,"&lt;="&amp;$A31,Monatlich!$K$4:$K$63,"&gt;="&amp;$A31)+SUMIFS(Einmalig!$E$4:$E$43,Einmalig!$A$4:$A$43,"Ja",Einmalig!$G$4:$G$43,"Gemeinsam",Einmalig!$D$4:$D$43,"Einnahme",Einmalig!$I$4:$I$43,$A31)</f>
        <v>0</v>
      </c>
      <c r="G31" s="12">
        <f t="shared" si="0"/>
        <v>7522.3205049999997</v>
      </c>
      <c r="H31" s="10">
        <f>Annahmen!C17</f>
        <v>750</v>
      </c>
      <c r="I31" s="10">
        <f>Annahmen!C18</f>
        <v>750</v>
      </c>
      <c r="J31" s="11">
        <f>SUMIFS(Monatlich!$E$4:$E$63,Monatlich!$A$4:$A$63,"Ja",Monatlich!$H$4:$H$63,"Theo",Monatlich!$D$4:$D$63,"Ausgabe",Monatlich!$J$4:$J$63,"&lt;="&amp;$A31,Monatlich!$K$4:$K$63,"&gt;="&amp;$A31)+SUMIFS(Einmalig!$E$4:$E$43,Einmalig!$A$4:$A$43,"Ja",Einmalig!$G$4:$G$43,"Theo",Einmalig!$D$4:$D$43,"Ausgabe",Einmalig!$I$4:$I$43,$A31)</f>
        <v>0</v>
      </c>
      <c r="K31" s="11">
        <f>SUMIFS(Monatlich!$E$4:$E$63,Monatlich!$A$4:$A$63,"Ja",Monatlich!$H$4:$H$63,"Jule",Monatlich!$D$4:$D$63,"Ausgabe",Monatlich!$J$4:$J$63,"&lt;="&amp;$A31,Monatlich!$K$4:$K$63,"&gt;="&amp;$A31)+SUMIFS(Einmalig!$E$4:$E$43,Einmalig!$A$4:$A$43,"Ja",Einmalig!$G$4:$G$43,"Jule",Einmalig!$D$4:$D$43,"Ausgabe",Einmalig!$I$4:$I$43,$A31)</f>
        <v>0</v>
      </c>
      <c r="L31" s="11">
        <f>SUMIFS(Monatlich!$E$4:$E$63,Monatlich!$A$4:$A$63,"Ja",Monatlich!$H$4:$H$63,"Gemeinsam",Monatlich!$D$4:$D$63,"Ausgabe",Monatlich!$J$4:$J$63,"&lt;="&amp;$A31,Monatlich!$K$4:$K$63,"&gt;="&amp;$A31)+SUMIFS(Einmalig!$E$4:$E$43,Einmalig!$A$4:$A$43,"Ja",Einmalig!$G$4:$G$43,"Gemeinsam",Einmalig!$D$4:$D$43,"Ausgabe",Einmalig!$I$4:$I$43,$A31)</f>
        <v>2500</v>
      </c>
      <c r="M31" s="12">
        <f t="shared" si="1"/>
        <v>4000</v>
      </c>
      <c r="N31" s="12">
        <f t="shared" si="2"/>
        <v>3522.3205049999997</v>
      </c>
      <c r="O31" s="11">
        <f>MAX(0,(Q30+B31+D31-H31-J31)-Annahmen!C19)</f>
        <v>4166.8605049999996</v>
      </c>
      <c r="P31" s="11">
        <f>MAX(0,(R30+C31+E31-I31-K31)-Annahmen!C20)</f>
        <v>1855.46</v>
      </c>
      <c r="Q31" s="11">
        <f t="shared" si="5"/>
        <v>0</v>
      </c>
      <c r="R31" s="11">
        <f t="shared" si="6"/>
        <v>0</v>
      </c>
      <c r="S31" s="11">
        <f t="shared" si="7"/>
        <v>106268.73060500016</v>
      </c>
      <c r="T31" s="12">
        <f t="shared" si="3"/>
        <v>106268.73060500016</v>
      </c>
    </row>
    <row r="32" spans="1:20" x14ac:dyDescent="0.2">
      <c r="A32" s="13">
        <f t="shared" si="4"/>
        <v>46905</v>
      </c>
      <c r="B32" s="14">
        <f>Annahmen!C55</f>
        <v>4916.8605049999996</v>
      </c>
      <c r="C32" s="14">
        <f>Annahmen!D55</f>
        <v>2605.46</v>
      </c>
      <c r="D32" s="15">
        <f>SUMIFS(Monatlich!$E$4:$E$63,Monatlich!$A$4:$A$63,"Ja",Monatlich!$H$4:$H$63,"Theo",Monatlich!$D$4:$D$63,"Einnahme",Monatlich!$J$4:$J$63,"&lt;="&amp;$A32,Monatlich!$K$4:$K$63,"&gt;="&amp;$A32)+SUMIFS(Einmalig!$E$4:$E$43,Einmalig!$A$4:$A$43,"Ja",Einmalig!$G$4:$G$43,"Theo",Einmalig!$D$4:$D$43,"Einnahme",Einmalig!$I$4:$I$43,$A32)</f>
        <v>0</v>
      </c>
      <c r="E32" s="15">
        <f>SUMIFS(Monatlich!$E$4:$E$63,Monatlich!$A$4:$A$63,"Ja",Monatlich!$H$4:$H$63,"Jule",Monatlich!$D$4:$D$63,"Einnahme",Monatlich!$J$4:$J$63,"&lt;="&amp;$A32,Monatlich!$K$4:$K$63,"&gt;="&amp;$A32)+SUMIFS(Einmalig!$E$4:$E$43,Einmalig!$A$4:$A$43,"Ja",Einmalig!$G$4:$G$43,"Jule",Einmalig!$D$4:$D$43,"Einnahme",Einmalig!$I$4:$I$43,$A32)</f>
        <v>0</v>
      </c>
      <c r="F32" s="15">
        <f>SUMIFS(Monatlich!$E$4:$E$63,Monatlich!$A$4:$A$63,"Ja",Monatlich!$H$4:$H$63,"Gemeinsam",Monatlich!$D$4:$D$63,"Einnahme",Monatlich!$J$4:$J$63,"&lt;="&amp;$A32,Monatlich!$K$4:$K$63,"&gt;="&amp;$A32)+SUMIFS(Einmalig!$E$4:$E$43,Einmalig!$A$4:$A$43,"Ja",Einmalig!$G$4:$G$43,"Gemeinsam",Einmalig!$D$4:$D$43,"Einnahme",Einmalig!$I$4:$I$43,$A32)</f>
        <v>0</v>
      </c>
      <c r="G32" s="12">
        <f t="shared" si="0"/>
        <v>7522.3205049999997</v>
      </c>
      <c r="H32" s="14">
        <f>Annahmen!C17</f>
        <v>750</v>
      </c>
      <c r="I32" s="14">
        <f>Annahmen!C18</f>
        <v>750</v>
      </c>
      <c r="J32" s="15">
        <f>SUMIFS(Monatlich!$E$4:$E$63,Monatlich!$A$4:$A$63,"Ja",Monatlich!$H$4:$H$63,"Theo",Monatlich!$D$4:$D$63,"Ausgabe",Monatlich!$J$4:$J$63,"&lt;="&amp;$A32,Monatlich!$K$4:$K$63,"&gt;="&amp;$A32)+SUMIFS(Einmalig!$E$4:$E$43,Einmalig!$A$4:$A$43,"Ja",Einmalig!$G$4:$G$43,"Theo",Einmalig!$D$4:$D$43,"Ausgabe",Einmalig!$I$4:$I$43,$A32)</f>
        <v>0</v>
      </c>
      <c r="K32" s="15">
        <f>SUMIFS(Monatlich!$E$4:$E$63,Monatlich!$A$4:$A$63,"Ja",Monatlich!$H$4:$H$63,"Jule",Monatlich!$D$4:$D$63,"Ausgabe",Monatlich!$J$4:$J$63,"&lt;="&amp;$A32,Monatlich!$K$4:$K$63,"&gt;="&amp;$A32)+SUMIFS(Einmalig!$E$4:$E$43,Einmalig!$A$4:$A$43,"Ja",Einmalig!$G$4:$G$43,"Jule",Einmalig!$D$4:$D$43,"Ausgabe",Einmalig!$I$4:$I$43,$A32)</f>
        <v>0</v>
      </c>
      <c r="L32" s="15">
        <f>SUMIFS(Monatlich!$E$4:$E$63,Monatlich!$A$4:$A$63,"Ja",Monatlich!$H$4:$H$63,"Gemeinsam",Monatlich!$D$4:$D$63,"Ausgabe",Monatlich!$J$4:$J$63,"&lt;="&amp;$A32,Monatlich!$K$4:$K$63,"&gt;="&amp;$A32)+SUMIFS(Einmalig!$E$4:$E$43,Einmalig!$A$4:$A$43,"Ja",Einmalig!$G$4:$G$43,"Gemeinsam",Einmalig!$D$4:$D$43,"Ausgabe",Einmalig!$I$4:$I$43,$A32)</f>
        <v>2500</v>
      </c>
      <c r="M32" s="12">
        <f t="shared" si="1"/>
        <v>4000</v>
      </c>
      <c r="N32" s="12">
        <f t="shared" si="2"/>
        <v>3522.3205049999997</v>
      </c>
      <c r="O32" s="15">
        <f>MAX(0,(Q31+B32+D32-H32-J32)-Annahmen!C19)</f>
        <v>4166.8605049999996</v>
      </c>
      <c r="P32" s="15">
        <f>MAX(0,(R31+C32+E32-I32-K32)-Annahmen!C20)</f>
        <v>1855.46</v>
      </c>
      <c r="Q32" s="15">
        <f t="shared" si="5"/>
        <v>0</v>
      </c>
      <c r="R32" s="15">
        <f t="shared" si="6"/>
        <v>0</v>
      </c>
      <c r="S32" s="15">
        <f t="shared" si="7"/>
        <v>109791.05111000017</v>
      </c>
      <c r="T32" s="12">
        <f t="shared" si="3"/>
        <v>109791.05111000017</v>
      </c>
    </row>
    <row r="33" spans="1:20" x14ac:dyDescent="0.2">
      <c r="A33" s="16">
        <f t="shared" si="4"/>
        <v>46935</v>
      </c>
      <c r="B33" s="10">
        <f>Annahmen!C55</f>
        <v>4916.8605049999996</v>
      </c>
      <c r="C33" s="10">
        <f>Annahmen!D55</f>
        <v>2605.46</v>
      </c>
      <c r="D33" s="11">
        <f>SUMIFS(Monatlich!$E$4:$E$63,Monatlich!$A$4:$A$63,"Ja",Monatlich!$H$4:$H$63,"Theo",Monatlich!$D$4:$D$63,"Einnahme",Monatlich!$J$4:$J$63,"&lt;="&amp;$A33,Monatlich!$K$4:$K$63,"&gt;="&amp;$A33)+SUMIFS(Einmalig!$E$4:$E$43,Einmalig!$A$4:$A$43,"Ja",Einmalig!$G$4:$G$43,"Theo",Einmalig!$D$4:$D$43,"Einnahme",Einmalig!$I$4:$I$43,$A33)</f>
        <v>0</v>
      </c>
      <c r="E33" s="11">
        <f>SUMIFS(Monatlich!$E$4:$E$63,Monatlich!$A$4:$A$63,"Ja",Monatlich!$H$4:$H$63,"Jule",Monatlich!$D$4:$D$63,"Einnahme",Monatlich!$J$4:$J$63,"&lt;="&amp;$A33,Monatlich!$K$4:$K$63,"&gt;="&amp;$A33)+SUMIFS(Einmalig!$E$4:$E$43,Einmalig!$A$4:$A$43,"Ja",Einmalig!$G$4:$G$43,"Jule",Einmalig!$D$4:$D$43,"Einnahme",Einmalig!$I$4:$I$43,$A33)</f>
        <v>0</v>
      </c>
      <c r="F33" s="11">
        <f>SUMIFS(Monatlich!$E$4:$E$63,Monatlich!$A$4:$A$63,"Ja",Monatlich!$H$4:$H$63,"Gemeinsam",Monatlich!$D$4:$D$63,"Einnahme",Monatlich!$J$4:$J$63,"&lt;="&amp;$A33,Monatlich!$K$4:$K$63,"&gt;="&amp;$A33)+SUMIFS(Einmalig!$E$4:$E$43,Einmalig!$A$4:$A$43,"Ja",Einmalig!$G$4:$G$43,"Gemeinsam",Einmalig!$D$4:$D$43,"Einnahme",Einmalig!$I$4:$I$43,$A33)</f>
        <v>0</v>
      </c>
      <c r="G33" s="12">
        <f t="shared" si="0"/>
        <v>7522.3205049999997</v>
      </c>
      <c r="H33" s="10">
        <f>Annahmen!C17</f>
        <v>750</v>
      </c>
      <c r="I33" s="10">
        <f>Annahmen!C18</f>
        <v>750</v>
      </c>
      <c r="J33" s="11">
        <f>SUMIFS(Monatlich!$E$4:$E$63,Monatlich!$A$4:$A$63,"Ja",Monatlich!$H$4:$H$63,"Theo",Monatlich!$D$4:$D$63,"Ausgabe",Monatlich!$J$4:$J$63,"&lt;="&amp;$A33,Monatlich!$K$4:$K$63,"&gt;="&amp;$A33)+SUMIFS(Einmalig!$E$4:$E$43,Einmalig!$A$4:$A$43,"Ja",Einmalig!$G$4:$G$43,"Theo",Einmalig!$D$4:$D$43,"Ausgabe",Einmalig!$I$4:$I$43,$A33)</f>
        <v>0</v>
      </c>
      <c r="K33" s="11">
        <f>SUMIFS(Monatlich!$E$4:$E$63,Monatlich!$A$4:$A$63,"Ja",Monatlich!$H$4:$H$63,"Jule",Monatlich!$D$4:$D$63,"Ausgabe",Monatlich!$J$4:$J$63,"&lt;="&amp;$A33,Monatlich!$K$4:$K$63,"&gt;="&amp;$A33)+SUMIFS(Einmalig!$E$4:$E$43,Einmalig!$A$4:$A$43,"Ja",Einmalig!$G$4:$G$43,"Jule",Einmalig!$D$4:$D$43,"Ausgabe",Einmalig!$I$4:$I$43,$A33)</f>
        <v>0</v>
      </c>
      <c r="L33" s="11">
        <f>SUMIFS(Monatlich!$E$4:$E$63,Monatlich!$A$4:$A$63,"Ja",Monatlich!$H$4:$H$63,"Gemeinsam",Monatlich!$D$4:$D$63,"Ausgabe",Monatlich!$J$4:$J$63,"&lt;="&amp;$A33,Monatlich!$K$4:$K$63,"&gt;="&amp;$A33)+SUMIFS(Einmalig!$E$4:$E$43,Einmalig!$A$4:$A$43,"Ja",Einmalig!$G$4:$G$43,"Gemeinsam",Einmalig!$D$4:$D$43,"Ausgabe",Einmalig!$I$4:$I$43,$A33)</f>
        <v>2500</v>
      </c>
      <c r="M33" s="12">
        <f t="shared" si="1"/>
        <v>4000</v>
      </c>
      <c r="N33" s="12">
        <f t="shared" si="2"/>
        <v>3522.3205049999997</v>
      </c>
      <c r="O33" s="11">
        <f>MAX(0,(Q32+B33+D33-H33-J33)-Annahmen!C19)</f>
        <v>4166.8605049999996</v>
      </c>
      <c r="P33" s="11">
        <f>MAX(0,(R32+C33+E33-I33-K33)-Annahmen!C20)</f>
        <v>1855.46</v>
      </c>
      <c r="Q33" s="11">
        <f t="shared" si="5"/>
        <v>0</v>
      </c>
      <c r="R33" s="11">
        <f t="shared" si="6"/>
        <v>0</v>
      </c>
      <c r="S33" s="11">
        <f t="shared" si="7"/>
        <v>113313.37161500019</v>
      </c>
      <c r="T33" s="12">
        <f t="shared" si="3"/>
        <v>113313.37161500019</v>
      </c>
    </row>
    <row r="34" spans="1:20" x14ac:dyDescent="0.2">
      <c r="A34" s="13">
        <f t="shared" si="4"/>
        <v>46966</v>
      </c>
      <c r="B34" s="14">
        <f>Annahmen!C55</f>
        <v>4916.8605049999996</v>
      </c>
      <c r="C34" s="14">
        <f>Annahmen!D55</f>
        <v>2605.46</v>
      </c>
      <c r="D34" s="15">
        <f>SUMIFS(Monatlich!$E$4:$E$63,Monatlich!$A$4:$A$63,"Ja",Monatlich!$H$4:$H$63,"Theo",Monatlich!$D$4:$D$63,"Einnahme",Monatlich!$J$4:$J$63,"&lt;="&amp;$A34,Monatlich!$K$4:$K$63,"&gt;="&amp;$A34)+SUMIFS(Einmalig!$E$4:$E$43,Einmalig!$A$4:$A$43,"Ja",Einmalig!$G$4:$G$43,"Theo",Einmalig!$D$4:$D$43,"Einnahme",Einmalig!$I$4:$I$43,$A34)</f>
        <v>0</v>
      </c>
      <c r="E34" s="15">
        <f>SUMIFS(Monatlich!$E$4:$E$63,Monatlich!$A$4:$A$63,"Ja",Monatlich!$H$4:$H$63,"Jule",Monatlich!$D$4:$D$63,"Einnahme",Monatlich!$J$4:$J$63,"&lt;="&amp;$A34,Monatlich!$K$4:$K$63,"&gt;="&amp;$A34)+SUMIFS(Einmalig!$E$4:$E$43,Einmalig!$A$4:$A$43,"Ja",Einmalig!$G$4:$G$43,"Jule",Einmalig!$D$4:$D$43,"Einnahme",Einmalig!$I$4:$I$43,$A34)</f>
        <v>0</v>
      </c>
      <c r="F34" s="15">
        <f>SUMIFS(Monatlich!$E$4:$E$63,Monatlich!$A$4:$A$63,"Ja",Monatlich!$H$4:$H$63,"Gemeinsam",Monatlich!$D$4:$D$63,"Einnahme",Monatlich!$J$4:$J$63,"&lt;="&amp;$A34,Monatlich!$K$4:$K$63,"&gt;="&amp;$A34)+SUMIFS(Einmalig!$E$4:$E$43,Einmalig!$A$4:$A$43,"Ja",Einmalig!$G$4:$G$43,"Gemeinsam",Einmalig!$D$4:$D$43,"Einnahme",Einmalig!$I$4:$I$43,$A34)</f>
        <v>0</v>
      </c>
      <c r="G34" s="12">
        <f t="shared" si="0"/>
        <v>7522.3205049999997</v>
      </c>
      <c r="H34" s="14">
        <f>Annahmen!C17</f>
        <v>750</v>
      </c>
      <c r="I34" s="14">
        <f>Annahmen!C18</f>
        <v>750</v>
      </c>
      <c r="J34" s="15">
        <f>SUMIFS(Monatlich!$E$4:$E$63,Monatlich!$A$4:$A$63,"Ja",Monatlich!$H$4:$H$63,"Theo",Monatlich!$D$4:$D$63,"Ausgabe",Monatlich!$J$4:$J$63,"&lt;="&amp;$A34,Monatlich!$K$4:$K$63,"&gt;="&amp;$A34)+SUMIFS(Einmalig!$E$4:$E$43,Einmalig!$A$4:$A$43,"Ja",Einmalig!$G$4:$G$43,"Theo",Einmalig!$D$4:$D$43,"Ausgabe",Einmalig!$I$4:$I$43,$A34)</f>
        <v>0</v>
      </c>
      <c r="K34" s="15">
        <f>SUMIFS(Monatlich!$E$4:$E$63,Monatlich!$A$4:$A$63,"Ja",Monatlich!$H$4:$H$63,"Jule",Monatlich!$D$4:$D$63,"Ausgabe",Monatlich!$J$4:$J$63,"&lt;="&amp;$A34,Monatlich!$K$4:$K$63,"&gt;="&amp;$A34)+SUMIFS(Einmalig!$E$4:$E$43,Einmalig!$A$4:$A$43,"Ja",Einmalig!$G$4:$G$43,"Jule",Einmalig!$D$4:$D$43,"Ausgabe",Einmalig!$I$4:$I$43,$A34)</f>
        <v>0</v>
      </c>
      <c r="L34" s="15">
        <f>SUMIFS(Monatlich!$E$4:$E$63,Monatlich!$A$4:$A$63,"Ja",Monatlich!$H$4:$H$63,"Gemeinsam",Monatlich!$D$4:$D$63,"Ausgabe",Monatlich!$J$4:$J$63,"&lt;="&amp;$A34,Monatlich!$K$4:$K$63,"&gt;="&amp;$A34)+SUMIFS(Einmalig!$E$4:$E$43,Einmalig!$A$4:$A$43,"Ja",Einmalig!$G$4:$G$43,"Gemeinsam",Einmalig!$D$4:$D$43,"Ausgabe",Einmalig!$I$4:$I$43,$A34)</f>
        <v>2500</v>
      </c>
      <c r="M34" s="12">
        <f t="shared" si="1"/>
        <v>4000</v>
      </c>
      <c r="N34" s="12">
        <f t="shared" si="2"/>
        <v>3522.3205049999997</v>
      </c>
      <c r="O34" s="15">
        <f>MAX(0,(Q33+B34+D34-H34-J34)-Annahmen!C19)</f>
        <v>4166.8605049999996</v>
      </c>
      <c r="P34" s="15">
        <f>MAX(0,(R33+C34+E34-I34-K34)-Annahmen!C20)</f>
        <v>1855.46</v>
      </c>
      <c r="Q34" s="15">
        <f t="shared" si="5"/>
        <v>0</v>
      </c>
      <c r="R34" s="15">
        <f t="shared" si="6"/>
        <v>0</v>
      </c>
      <c r="S34" s="15">
        <f t="shared" si="7"/>
        <v>116835.6921200002</v>
      </c>
      <c r="T34" s="12">
        <f t="shared" si="3"/>
        <v>116835.6921200002</v>
      </c>
    </row>
    <row r="36" spans="1:20" ht="28" customHeight="1" x14ac:dyDescent="0.2">
      <c r="A36" s="46" t="s">
        <v>33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</sheetData>
  <mergeCells count="7">
    <mergeCell ref="A2:T2"/>
    <mergeCell ref="A36:T36"/>
    <mergeCell ref="Q9:T9"/>
    <mergeCell ref="B9:G9"/>
    <mergeCell ref="C7:F7"/>
    <mergeCell ref="H9:M9"/>
    <mergeCell ref="N9:P9"/>
  </mergeCells>
  <conditionalFormatting sqref="C7:F7">
    <cfRule type="expression" dxfId="5" priority="6">
      <formula>AND(ISNUMBER($C$6),$C$6&gt;=$C$4)</formula>
    </cfRule>
    <cfRule type="expression" dxfId="4" priority="7">
      <formula>AND(ISNUMBER($C$6),$C$6&lt;$C$4)</formula>
    </cfRule>
  </conditionalFormatting>
  <conditionalFormatting sqref="Q11:T34">
    <cfRule type="expression" dxfId="3" priority="1">
      <formula>Q11&lt;0</formula>
    </cfRule>
  </conditionalFormatting>
  <pageMargins left="0.75" right="0.75" top="1" bottom="1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0-000E-0000-0000-000005000000}">
            <xm:f>AND(T11&gt;=Annahmen!C7,T11&gt;0)</xm:f>
            <x14:dxf>
              <font>
                <b/>
                <sz val="10"/>
                <color rgb="FF006100"/>
                <name val="Arial"/>
              </font>
              <fill>
                <patternFill patternType="solid">
                  <fgColor rgb="FFC6EFCE"/>
                </patternFill>
              </fill>
            </x14:dxf>
          </x14:cfRule>
          <xm:sqref>T11:T34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H71"/>
  <sheetViews>
    <sheetView showGridLines="0" tabSelected="1" topLeftCell="A5" zoomScale="163" workbookViewId="0">
      <selection activeCell="D13" sqref="D13"/>
    </sheetView>
  </sheetViews>
  <sheetFormatPr baseColWidth="10" defaultColWidth="8.83203125" defaultRowHeight="15" x14ac:dyDescent="0.2"/>
  <cols>
    <col min="1" max="1" width="42" customWidth="1"/>
    <col min="2" max="2" width="22.1640625" customWidth="1"/>
    <col min="3" max="7" width="20" customWidth="1"/>
    <col min="8" max="8" width="46" customWidth="1"/>
  </cols>
  <sheetData>
    <row r="1" spans="1:8" ht="20" x14ac:dyDescent="0.2">
      <c r="A1" s="1" t="s">
        <v>34</v>
      </c>
    </row>
    <row r="2" spans="1:8" x14ac:dyDescent="0.2">
      <c r="A2" s="45" t="s">
        <v>35</v>
      </c>
      <c r="B2" s="42"/>
      <c r="C2" s="42"/>
      <c r="D2" s="42"/>
      <c r="E2" s="42"/>
      <c r="F2" s="42"/>
      <c r="G2" s="42"/>
      <c r="H2" s="42"/>
    </row>
    <row r="4" spans="1:8" ht="20" customHeight="1" x14ac:dyDescent="0.2">
      <c r="A4" s="47" t="s">
        <v>36</v>
      </c>
      <c r="B4" s="42"/>
      <c r="C4" s="42"/>
      <c r="D4" s="42"/>
      <c r="E4" s="42"/>
      <c r="F4" s="42"/>
      <c r="G4" s="42"/>
      <c r="H4" s="42"/>
    </row>
    <row r="5" spans="1:8" ht="26" x14ac:dyDescent="0.2">
      <c r="A5" s="7" t="s">
        <v>37</v>
      </c>
      <c r="C5" s="18">
        <v>46266</v>
      </c>
      <c r="H5" s="17" t="s">
        <v>38</v>
      </c>
    </row>
    <row r="6" spans="1:8" x14ac:dyDescent="0.2">
      <c r="A6" s="7" t="s">
        <v>39</v>
      </c>
      <c r="C6" s="19">
        <v>24</v>
      </c>
    </row>
    <row r="7" spans="1:8" x14ac:dyDescent="0.2">
      <c r="A7" s="7" t="s">
        <v>2</v>
      </c>
      <c r="C7" s="20">
        <v>35000</v>
      </c>
      <c r="H7" s="17" t="s">
        <v>40</v>
      </c>
    </row>
    <row r="8" spans="1:8" x14ac:dyDescent="0.2">
      <c r="A8" s="7" t="s">
        <v>41</v>
      </c>
      <c r="C8" s="18">
        <v>46569</v>
      </c>
    </row>
    <row r="10" spans="1:8" ht="20" customHeight="1" x14ac:dyDescent="0.2">
      <c r="A10" s="47" t="s">
        <v>42</v>
      </c>
      <c r="B10" s="42"/>
      <c r="C10" s="42"/>
      <c r="D10" s="42"/>
      <c r="E10" s="42"/>
      <c r="F10" s="42"/>
      <c r="G10" s="42"/>
      <c r="H10" s="42"/>
    </row>
    <row r="11" spans="1:8" x14ac:dyDescent="0.2">
      <c r="A11" s="7" t="s">
        <v>29</v>
      </c>
      <c r="C11" s="21">
        <v>-4000</v>
      </c>
      <c r="H11" s="17" t="s">
        <v>43</v>
      </c>
    </row>
    <row r="12" spans="1:8" x14ac:dyDescent="0.2">
      <c r="A12" s="7" t="s">
        <v>30</v>
      </c>
      <c r="C12" s="21">
        <v>500</v>
      </c>
    </row>
    <row r="13" spans="1:8" x14ac:dyDescent="0.2">
      <c r="A13" s="7" t="s">
        <v>31</v>
      </c>
      <c r="C13" s="21">
        <v>0</v>
      </c>
    </row>
    <row r="14" spans="1:8" x14ac:dyDescent="0.2">
      <c r="A14" s="22" t="s">
        <v>44</v>
      </c>
      <c r="C14" s="23">
        <f>C11+C12+C13</f>
        <v>-3500</v>
      </c>
    </row>
    <row r="16" spans="1:8" ht="20" customHeight="1" x14ac:dyDescent="0.2">
      <c r="A16" s="47" t="s">
        <v>45</v>
      </c>
      <c r="B16" s="42"/>
      <c r="C16" s="42"/>
      <c r="D16" s="42"/>
      <c r="E16" s="42"/>
      <c r="F16" s="42"/>
      <c r="G16" s="42"/>
      <c r="H16" s="42"/>
    </row>
    <row r="17" spans="1:8" x14ac:dyDescent="0.2">
      <c r="A17" s="7" t="s">
        <v>46</v>
      </c>
      <c r="C17" s="21">
        <v>750</v>
      </c>
    </row>
    <row r="18" spans="1:8" x14ac:dyDescent="0.2">
      <c r="A18" s="7" t="s">
        <v>47</v>
      </c>
      <c r="C18" s="21">
        <v>750</v>
      </c>
    </row>
    <row r="19" spans="1:8" x14ac:dyDescent="0.2">
      <c r="A19" s="7" t="s">
        <v>48</v>
      </c>
      <c r="C19" s="21">
        <v>0</v>
      </c>
    </row>
    <row r="20" spans="1:8" x14ac:dyDescent="0.2">
      <c r="A20" s="7" t="s">
        <v>49</v>
      </c>
      <c r="C20" s="21">
        <v>0</v>
      </c>
    </row>
    <row r="21" spans="1:8" ht="14" customHeight="1" x14ac:dyDescent="0.2">
      <c r="A21" s="46" t="s">
        <v>50</v>
      </c>
      <c r="B21" s="42"/>
      <c r="C21" s="42"/>
      <c r="D21" s="42"/>
      <c r="E21" s="42"/>
      <c r="F21" s="42"/>
      <c r="G21" s="42"/>
      <c r="H21" s="42"/>
    </row>
    <row r="22" spans="1:8" x14ac:dyDescent="0.2">
      <c r="A22" s="42"/>
      <c r="B22" s="42"/>
      <c r="C22" s="42"/>
      <c r="D22" s="42"/>
      <c r="E22" s="42"/>
      <c r="F22" s="42"/>
      <c r="G22" s="42"/>
      <c r="H22" s="42"/>
    </row>
    <row r="24" spans="1:8" ht="20" customHeight="1" x14ac:dyDescent="0.2">
      <c r="A24" s="47" t="s">
        <v>51</v>
      </c>
      <c r="B24" s="42"/>
      <c r="C24" s="42"/>
      <c r="D24" s="42"/>
      <c r="E24" s="42"/>
      <c r="F24" s="42"/>
      <c r="G24" s="42"/>
      <c r="H24" s="42"/>
    </row>
    <row r="25" spans="1:8" x14ac:dyDescent="0.2">
      <c r="A25" s="24" t="s">
        <v>52</v>
      </c>
      <c r="C25" s="25" t="s">
        <v>53</v>
      </c>
      <c r="H25" s="24" t="s">
        <v>54</v>
      </c>
    </row>
    <row r="26" spans="1:8" x14ac:dyDescent="0.2">
      <c r="A26" s="26" t="s">
        <v>55</v>
      </c>
      <c r="C26" s="27">
        <v>8.7499999999999994E-2</v>
      </c>
      <c r="H26" s="28" t="s">
        <v>56</v>
      </c>
    </row>
    <row r="27" spans="1:8" x14ac:dyDescent="0.2">
      <c r="A27" s="26" t="s">
        <v>57</v>
      </c>
      <c r="C27" s="27">
        <v>2.4E-2</v>
      </c>
      <c r="H27" s="28" t="s">
        <v>58</v>
      </c>
    </row>
    <row r="28" spans="1:8" x14ac:dyDescent="0.2">
      <c r="A28" s="26" t="s">
        <v>59</v>
      </c>
      <c r="C28" s="27">
        <v>9.2999999999999999E-2</v>
      </c>
      <c r="H28" s="28" t="s">
        <v>60</v>
      </c>
    </row>
    <row r="29" spans="1:8" x14ac:dyDescent="0.2">
      <c r="A29" s="26" t="s">
        <v>61</v>
      </c>
      <c r="C29" s="27">
        <v>1.2999999999999999E-2</v>
      </c>
      <c r="H29" s="28" t="s">
        <v>62</v>
      </c>
    </row>
    <row r="30" spans="1:8" x14ac:dyDescent="0.2">
      <c r="A30" s="26" t="s">
        <v>63</v>
      </c>
      <c r="C30" s="21">
        <v>5812.5</v>
      </c>
      <c r="H30" s="28" t="s">
        <v>64</v>
      </c>
    </row>
    <row r="31" spans="1:8" x14ac:dyDescent="0.2">
      <c r="A31" s="26" t="s">
        <v>65</v>
      </c>
      <c r="C31" s="21">
        <v>8450</v>
      </c>
      <c r="H31" s="28" t="s">
        <v>66</v>
      </c>
    </row>
    <row r="33" spans="1:8" ht="20" customHeight="1" x14ac:dyDescent="0.2">
      <c r="A33" s="47" t="s">
        <v>67</v>
      </c>
      <c r="B33" s="42"/>
      <c r="C33" s="42"/>
      <c r="D33" s="42"/>
      <c r="E33" s="42"/>
      <c r="F33" s="42"/>
      <c r="G33" s="42"/>
      <c r="H33" s="42"/>
    </row>
    <row r="34" spans="1:8" ht="39" x14ac:dyDescent="0.2">
      <c r="A34" s="7" t="s">
        <v>68</v>
      </c>
      <c r="C34" s="21">
        <v>4901.1099999999997</v>
      </c>
      <c r="H34" s="29" t="s">
        <v>69</v>
      </c>
    </row>
    <row r="35" spans="1:8" x14ac:dyDescent="0.2">
      <c r="A35" s="7" t="s">
        <v>70</v>
      </c>
      <c r="C35" s="30">
        <v>0.75</v>
      </c>
      <c r="H35" s="29" t="s">
        <v>71</v>
      </c>
    </row>
    <row r="37" spans="1:8" ht="28" customHeight="1" x14ac:dyDescent="0.2">
      <c r="A37" s="7"/>
      <c r="B37" s="8" t="s">
        <v>72</v>
      </c>
      <c r="C37" s="8" t="s">
        <v>73</v>
      </c>
      <c r="D37" s="8" t="s">
        <v>74</v>
      </c>
    </row>
    <row r="38" spans="1:8" x14ac:dyDescent="0.2">
      <c r="A38" s="26" t="s">
        <v>75</v>
      </c>
      <c r="B38" s="31" t="s">
        <v>76</v>
      </c>
      <c r="C38" s="48" t="s">
        <v>77</v>
      </c>
      <c r="D38" s="31" t="s">
        <v>76</v>
      </c>
      <c r="H38" s="29" t="s">
        <v>78</v>
      </c>
    </row>
    <row r="39" spans="1:8" x14ac:dyDescent="0.2">
      <c r="A39" s="26" t="s">
        <v>79</v>
      </c>
      <c r="B39" s="32">
        <f>B40/12</f>
        <v>4166.666666666667</v>
      </c>
      <c r="C39" s="32">
        <f>$C34*$C35</f>
        <v>3675.8324999999995</v>
      </c>
      <c r="D39" s="32">
        <f>D40/12</f>
        <v>4000</v>
      </c>
    </row>
    <row r="40" spans="1:8" ht="26" x14ac:dyDescent="0.2">
      <c r="A40" s="26" t="s">
        <v>80</v>
      </c>
      <c r="B40" s="20">
        <v>50000</v>
      </c>
      <c r="C40" s="33">
        <f>C39*12</f>
        <v>44109.989999999991</v>
      </c>
      <c r="D40" s="20">
        <v>48000</v>
      </c>
      <c r="H40" s="29" t="s">
        <v>81</v>
      </c>
    </row>
    <row r="42" spans="1:8" ht="20" customHeight="1" x14ac:dyDescent="0.2">
      <c r="A42" s="47" t="s">
        <v>82</v>
      </c>
      <c r="B42" s="42"/>
      <c r="C42" s="42"/>
      <c r="D42" s="42"/>
      <c r="E42" s="42"/>
      <c r="F42" s="42"/>
      <c r="G42" s="42"/>
      <c r="H42" s="42"/>
    </row>
    <row r="43" spans="1:8" ht="28" customHeight="1" x14ac:dyDescent="0.2">
      <c r="A43" s="7"/>
      <c r="C43" s="8" t="s">
        <v>83</v>
      </c>
      <c r="D43" s="25" t="s">
        <v>74</v>
      </c>
    </row>
    <row r="44" spans="1:8" x14ac:dyDescent="0.2">
      <c r="A44" s="34" t="s">
        <v>84</v>
      </c>
      <c r="C44" s="23">
        <f>B39+C39</f>
        <v>7842.4991666666665</v>
      </c>
      <c r="D44" s="23">
        <f>D39</f>
        <v>4000</v>
      </c>
    </row>
    <row r="45" spans="1:8" ht="39" x14ac:dyDescent="0.2">
      <c r="A45" s="35" t="s">
        <v>85</v>
      </c>
      <c r="C45" s="36">
        <f>MIN(C44,$C30)</f>
        <v>5812.5</v>
      </c>
      <c r="D45" s="36">
        <f>MIN(D44,$C30)</f>
        <v>4000</v>
      </c>
      <c r="H45" s="29" t="s">
        <v>86</v>
      </c>
    </row>
    <row r="46" spans="1:8" x14ac:dyDescent="0.2">
      <c r="A46" s="35" t="s">
        <v>87</v>
      </c>
      <c r="C46" s="36">
        <f>MIN(C44,$C31)</f>
        <v>7842.4991666666665</v>
      </c>
      <c r="D46" s="36">
        <f>MIN(D44,$C31)</f>
        <v>4000</v>
      </c>
    </row>
    <row r="47" spans="1:8" x14ac:dyDescent="0.2">
      <c r="A47" s="26" t="s">
        <v>88</v>
      </c>
      <c r="C47" s="32">
        <f>-C45*$C26</f>
        <v>-508.59374999999994</v>
      </c>
      <c r="D47" s="32">
        <f>-D45*$C26</f>
        <v>-350</v>
      </c>
    </row>
    <row r="48" spans="1:8" x14ac:dyDescent="0.2">
      <c r="A48" s="26" t="s">
        <v>89</v>
      </c>
      <c r="C48" s="32">
        <f>-C45*$C27</f>
        <v>-139.5</v>
      </c>
      <c r="D48" s="32">
        <f>-D45*$C27</f>
        <v>-96</v>
      </c>
    </row>
    <row r="49" spans="1:8" x14ac:dyDescent="0.2">
      <c r="A49" s="26" t="s">
        <v>90</v>
      </c>
      <c r="C49" s="32">
        <f>-C46*$C28</f>
        <v>-729.35242249999999</v>
      </c>
      <c r="D49" s="32">
        <f>-D46*$C28</f>
        <v>-372</v>
      </c>
    </row>
    <row r="50" spans="1:8" x14ac:dyDescent="0.2">
      <c r="A50" s="26" t="s">
        <v>91</v>
      </c>
      <c r="C50" s="32">
        <f>-C46*$C29</f>
        <v>-101.95248916666667</v>
      </c>
      <c r="D50" s="32">
        <f>-D46*$C29</f>
        <v>-52</v>
      </c>
    </row>
    <row r="51" spans="1:8" ht="26" x14ac:dyDescent="0.2">
      <c r="A51" s="26" t="s">
        <v>92</v>
      </c>
      <c r="C51" s="21">
        <v>-565.69000000000005</v>
      </c>
      <c r="D51" s="21">
        <v>-524.54</v>
      </c>
      <c r="H51" s="29" t="s">
        <v>93</v>
      </c>
    </row>
    <row r="52" spans="1:8" x14ac:dyDescent="0.2">
      <c r="A52" s="26" t="s">
        <v>94</v>
      </c>
      <c r="C52" s="21">
        <v>-880.55</v>
      </c>
      <c r="D52" s="21">
        <v>0</v>
      </c>
    </row>
    <row r="53" spans="1:8" x14ac:dyDescent="0.2">
      <c r="A53" s="26" t="s">
        <v>95</v>
      </c>
      <c r="C53" s="21">
        <v>0</v>
      </c>
      <c r="D53" s="21">
        <v>0</v>
      </c>
      <c r="H53" s="29" t="s">
        <v>96</v>
      </c>
    </row>
    <row r="54" spans="1:8" ht="26" x14ac:dyDescent="0.2">
      <c r="A54" s="26" t="s">
        <v>97</v>
      </c>
      <c r="C54" s="21">
        <v>0</v>
      </c>
      <c r="D54" s="21">
        <v>0</v>
      </c>
      <c r="H54" s="29" t="s">
        <v>98</v>
      </c>
    </row>
    <row r="55" spans="1:8" ht="22" customHeight="1" x14ac:dyDescent="0.2">
      <c r="A55" s="37" t="e">
        <f>NETTO pro Monat</f>
        <v>#NAME?</v>
      </c>
      <c r="C55" s="23">
        <f>C44+SUM(C47:C54)</f>
        <v>4916.8605049999996</v>
      </c>
      <c r="D55" s="23">
        <f>D44+SUM(D47:D54)</f>
        <v>2605.46</v>
      </c>
    </row>
    <row r="56" spans="1:8" x14ac:dyDescent="0.2">
      <c r="A56" s="22" t="s">
        <v>99</v>
      </c>
      <c r="C56" s="23">
        <f>C55+D55</f>
        <v>7522.3205049999997</v>
      </c>
    </row>
    <row r="58" spans="1:8" ht="20" customHeight="1" x14ac:dyDescent="0.2">
      <c r="A58" s="47" t="s">
        <v>100</v>
      </c>
      <c r="B58" s="42"/>
      <c r="C58" s="42"/>
      <c r="D58" s="42"/>
      <c r="E58" s="42"/>
      <c r="F58" s="42"/>
      <c r="G58" s="42"/>
      <c r="H58" s="42"/>
    </row>
    <row r="59" spans="1:8" x14ac:dyDescent="0.2">
      <c r="B59" s="25" t="s">
        <v>101</v>
      </c>
      <c r="C59" s="25" t="s">
        <v>102</v>
      </c>
      <c r="D59" s="25" t="s">
        <v>103</v>
      </c>
      <c r="E59" s="25" t="s">
        <v>104</v>
      </c>
      <c r="F59" s="25" t="s">
        <v>105</v>
      </c>
      <c r="G59" s="25" t="s">
        <v>106</v>
      </c>
    </row>
    <row r="60" spans="1:8" x14ac:dyDescent="0.2">
      <c r="A60" s="34" t="s">
        <v>107</v>
      </c>
      <c r="B60" s="32">
        <v>4901.1099999999997</v>
      </c>
      <c r="C60" s="32">
        <v>5279.32</v>
      </c>
      <c r="D60" s="32">
        <v>5709.87</v>
      </c>
      <c r="E60" s="32">
        <v>6177.31</v>
      </c>
      <c r="F60" s="32">
        <v>6727.38</v>
      </c>
      <c r="G60" s="32">
        <v>6919.54</v>
      </c>
    </row>
    <row r="61" spans="1:8" x14ac:dyDescent="0.2">
      <c r="A61" s="45" t="s">
        <v>108</v>
      </c>
      <c r="B61" s="42"/>
      <c r="C61" s="42"/>
      <c r="D61" s="42"/>
      <c r="E61" s="42"/>
      <c r="F61" s="42"/>
      <c r="G61" s="42"/>
      <c r="H61" s="42"/>
    </row>
    <row r="63" spans="1:8" ht="20" customHeight="1" x14ac:dyDescent="0.2">
      <c r="A63" s="47" t="s">
        <v>109</v>
      </c>
      <c r="B63" s="42"/>
      <c r="C63" s="42"/>
      <c r="D63" s="42"/>
      <c r="E63" s="42"/>
      <c r="F63" s="42"/>
      <c r="G63" s="42"/>
      <c r="H63" s="42"/>
    </row>
    <row r="64" spans="1:8" ht="26" customHeight="1" x14ac:dyDescent="0.2">
      <c r="A64" s="46" t="s">
        <v>110</v>
      </c>
      <c r="B64" s="42"/>
      <c r="C64" s="42"/>
      <c r="D64" s="42"/>
      <c r="E64" s="42"/>
      <c r="F64" s="42"/>
      <c r="G64" s="42"/>
      <c r="H64" s="42"/>
    </row>
    <row r="65" spans="1:8" ht="26" customHeight="1" x14ac:dyDescent="0.2">
      <c r="A65" s="46" t="s">
        <v>111</v>
      </c>
      <c r="B65" s="42"/>
      <c r="C65" s="42"/>
      <c r="D65" s="42"/>
      <c r="E65" s="42"/>
      <c r="F65" s="42"/>
      <c r="G65" s="42"/>
      <c r="H65" s="42"/>
    </row>
    <row r="66" spans="1:8" ht="26" customHeight="1" x14ac:dyDescent="0.2">
      <c r="A66" s="46" t="s">
        <v>112</v>
      </c>
      <c r="B66" s="42"/>
      <c r="C66" s="42"/>
      <c r="D66" s="42"/>
      <c r="E66" s="42"/>
      <c r="F66" s="42"/>
      <c r="G66" s="42"/>
      <c r="H66" s="42"/>
    </row>
    <row r="67" spans="1:8" ht="26" customHeight="1" x14ac:dyDescent="0.2">
      <c r="A67" s="46" t="s">
        <v>113</v>
      </c>
      <c r="B67" s="42"/>
      <c r="C67" s="42"/>
      <c r="D67" s="42"/>
      <c r="E67" s="42"/>
      <c r="F67" s="42"/>
      <c r="G67" s="42"/>
      <c r="H67" s="42"/>
    </row>
    <row r="68" spans="1:8" ht="26" customHeight="1" x14ac:dyDescent="0.2">
      <c r="A68" s="46" t="s">
        <v>114</v>
      </c>
      <c r="B68" s="42"/>
      <c r="C68" s="42"/>
      <c r="D68" s="42"/>
      <c r="E68" s="42"/>
      <c r="F68" s="42"/>
      <c r="G68" s="42"/>
      <c r="H68" s="42"/>
    </row>
    <row r="69" spans="1:8" ht="26" customHeight="1" x14ac:dyDescent="0.2">
      <c r="A69" s="46" t="s">
        <v>115</v>
      </c>
      <c r="B69" s="42"/>
      <c r="C69" s="42"/>
      <c r="D69" s="42"/>
      <c r="E69" s="42"/>
      <c r="F69" s="42"/>
      <c r="G69" s="42"/>
      <c r="H69" s="42"/>
    </row>
    <row r="70" spans="1:8" ht="26" customHeight="1" x14ac:dyDescent="0.2">
      <c r="A70" s="46" t="s">
        <v>116</v>
      </c>
      <c r="B70" s="42"/>
      <c r="C70" s="42"/>
      <c r="D70" s="42"/>
      <c r="E70" s="42"/>
      <c r="F70" s="42"/>
      <c r="G70" s="42"/>
      <c r="H70" s="42"/>
    </row>
    <row r="71" spans="1:8" ht="26" customHeight="1" x14ac:dyDescent="0.2">
      <c r="A71" s="46" t="s">
        <v>117</v>
      </c>
      <c r="B71" s="42"/>
      <c r="C71" s="42"/>
      <c r="D71" s="42"/>
      <c r="E71" s="42"/>
      <c r="F71" s="42"/>
      <c r="G71" s="42"/>
      <c r="H71" s="42"/>
    </row>
  </sheetData>
  <mergeCells count="19">
    <mergeCell ref="A2:H2"/>
    <mergeCell ref="A71:H71"/>
    <mergeCell ref="A42:H42"/>
    <mergeCell ref="A33:H33"/>
    <mergeCell ref="A4:H4"/>
    <mergeCell ref="A63:H63"/>
    <mergeCell ref="A10:H10"/>
    <mergeCell ref="A68:H68"/>
    <mergeCell ref="A58:H58"/>
    <mergeCell ref="A70:H70"/>
    <mergeCell ref="A69:H69"/>
    <mergeCell ref="A65:H65"/>
    <mergeCell ref="A16:H16"/>
    <mergeCell ref="A66:H66"/>
    <mergeCell ref="A67:H67"/>
    <mergeCell ref="A24:H24"/>
    <mergeCell ref="A64:H64"/>
    <mergeCell ref="A21:H22"/>
    <mergeCell ref="A61:H61"/>
  </mergeCells>
  <pageMargins left="0.75" right="0.75" top="1" bottom="1" header="0.5" footer="0.5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K6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40" customWidth="1"/>
    <col min="3" max="3" width="18" customWidth="1"/>
    <col min="4" max="4" width="13" customWidth="1"/>
    <col min="5" max="5" width="15" customWidth="1"/>
    <col min="6" max="8" width="14" customWidth="1"/>
    <col min="9" max="9" width="52" customWidth="1"/>
    <col min="10" max="11" width="13" customWidth="1"/>
  </cols>
  <sheetData>
    <row r="1" spans="1:11" ht="20" x14ac:dyDescent="0.2">
      <c r="A1" s="1" t="s">
        <v>118</v>
      </c>
    </row>
    <row r="2" spans="1:11" x14ac:dyDescent="0.2">
      <c r="A2" s="45" t="s">
        <v>119</v>
      </c>
      <c r="B2" s="42"/>
      <c r="C2" s="42"/>
      <c r="D2" s="42"/>
      <c r="E2" s="42"/>
      <c r="F2" s="42"/>
      <c r="G2" s="42"/>
      <c r="H2" s="42"/>
      <c r="I2" s="42"/>
    </row>
    <row r="3" spans="1:11" ht="26" customHeight="1" x14ac:dyDescent="0.2">
      <c r="A3" s="8" t="s">
        <v>120</v>
      </c>
      <c r="B3" s="8" t="s">
        <v>121</v>
      </c>
      <c r="C3" s="8" t="s">
        <v>122</v>
      </c>
      <c r="D3" s="8" t="s">
        <v>123</v>
      </c>
      <c r="E3" s="8" t="s">
        <v>124</v>
      </c>
      <c r="F3" s="8" t="s">
        <v>125</v>
      </c>
      <c r="G3" s="8" t="s">
        <v>126</v>
      </c>
      <c r="H3" s="8" t="s">
        <v>127</v>
      </c>
      <c r="I3" s="8" t="s">
        <v>128</v>
      </c>
      <c r="J3" s="38" t="s">
        <v>129</v>
      </c>
      <c r="K3" s="38" t="s">
        <v>130</v>
      </c>
    </row>
    <row r="4" spans="1:11" x14ac:dyDescent="0.2">
      <c r="A4" s="31" t="s">
        <v>131</v>
      </c>
      <c r="B4" s="39" t="s">
        <v>132</v>
      </c>
      <c r="C4" s="39" t="s">
        <v>133</v>
      </c>
      <c r="D4" s="31" t="s">
        <v>134</v>
      </c>
      <c r="E4" s="21">
        <v>1000</v>
      </c>
      <c r="F4" s="18">
        <v>46266</v>
      </c>
      <c r="G4" s="18"/>
      <c r="H4" s="31" t="s">
        <v>135</v>
      </c>
      <c r="I4" s="28" t="s">
        <v>136</v>
      </c>
      <c r="J4" s="40">
        <f>IF($B4="","",IF($F4="",Annahmen!$C5,DATE(YEAR($F4),MONTH($F4),1)))</f>
        <v>46266</v>
      </c>
      <c r="K4" s="40">
        <f t="shared" ref="K4:K35" si="0">IF($B4="","",IF($G4="",DATE(2099,12,31),DATE(YEAR($G4),MONTH($G4),1)))</f>
        <v>73050</v>
      </c>
    </row>
    <row r="5" spans="1:11" x14ac:dyDescent="0.2">
      <c r="A5" s="31" t="s">
        <v>131</v>
      </c>
      <c r="B5" s="39" t="s">
        <v>137</v>
      </c>
      <c r="C5" s="39" t="s">
        <v>138</v>
      </c>
      <c r="D5" s="31" t="s">
        <v>134</v>
      </c>
      <c r="E5" s="21">
        <v>1500</v>
      </c>
      <c r="F5" s="18">
        <v>46266</v>
      </c>
      <c r="G5" s="18"/>
      <c r="H5" s="31" t="s">
        <v>135</v>
      </c>
      <c r="I5" s="28" t="s">
        <v>139</v>
      </c>
      <c r="J5" s="40">
        <f>IF($B5="","",IF($F5="",Annahmen!$C5,DATE(YEAR($F5),MONTH($F5),1)))</f>
        <v>46266</v>
      </c>
      <c r="K5" s="40">
        <f t="shared" si="0"/>
        <v>73050</v>
      </c>
    </row>
    <row r="6" spans="1:11" x14ac:dyDescent="0.2">
      <c r="A6" s="31" t="s">
        <v>140</v>
      </c>
      <c r="B6" s="39" t="s">
        <v>141</v>
      </c>
      <c r="C6" s="39" t="s">
        <v>142</v>
      </c>
      <c r="D6" s="31" t="s">
        <v>134</v>
      </c>
      <c r="E6" s="21">
        <v>0</v>
      </c>
      <c r="F6" s="18">
        <v>46266</v>
      </c>
      <c r="G6" s="18"/>
      <c r="H6" s="31" t="s">
        <v>135</v>
      </c>
      <c r="I6" s="28" t="s">
        <v>143</v>
      </c>
      <c r="J6" s="40">
        <f>IF($B6="","",IF($F6="",Annahmen!$C5,DATE(YEAR($F6),MONTH($F6),1)))</f>
        <v>46266</v>
      </c>
      <c r="K6" s="40">
        <f t="shared" si="0"/>
        <v>73050</v>
      </c>
    </row>
    <row r="7" spans="1:11" x14ac:dyDescent="0.2">
      <c r="A7" s="31" t="s">
        <v>140</v>
      </c>
      <c r="B7" s="39" t="s">
        <v>144</v>
      </c>
      <c r="C7" s="39" t="s">
        <v>145</v>
      </c>
      <c r="D7" s="31" t="s">
        <v>134</v>
      </c>
      <c r="E7" s="21">
        <v>0</v>
      </c>
      <c r="F7" s="18">
        <v>46266</v>
      </c>
      <c r="G7" s="18"/>
      <c r="H7" s="31" t="s">
        <v>135</v>
      </c>
      <c r="I7" s="28" t="s">
        <v>146</v>
      </c>
      <c r="J7" s="40">
        <f>IF($B7="","",IF($F7="",Annahmen!$C5,DATE(YEAR($F7),MONTH($F7),1)))</f>
        <v>46266</v>
      </c>
      <c r="K7" s="40">
        <f t="shared" si="0"/>
        <v>73050</v>
      </c>
    </row>
    <row r="8" spans="1:11" x14ac:dyDescent="0.2">
      <c r="A8" s="31" t="s">
        <v>140</v>
      </c>
      <c r="B8" s="39" t="s">
        <v>147</v>
      </c>
      <c r="C8" s="39" t="s">
        <v>148</v>
      </c>
      <c r="D8" s="31" t="s">
        <v>134</v>
      </c>
      <c r="E8" s="21">
        <v>0</v>
      </c>
      <c r="F8" s="18">
        <v>46266</v>
      </c>
      <c r="G8" s="18"/>
      <c r="H8" s="31" t="s">
        <v>135</v>
      </c>
      <c r="I8" s="28" t="s">
        <v>146</v>
      </c>
      <c r="J8" s="40">
        <f>IF($B8="","",IF($F8="",Annahmen!$C5,DATE(YEAR($F8),MONTH($F8),1)))</f>
        <v>46266</v>
      </c>
      <c r="K8" s="40">
        <f t="shared" si="0"/>
        <v>73050</v>
      </c>
    </row>
    <row r="9" spans="1:11" ht="42" x14ac:dyDescent="0.2">
      <c r="A9" s="31" t="s">
        <v>140</v>
      </c>
      <c r="B9" s="39" t="s">
        <v>149</v>
      </c>
      <c r="C9" s="39" t="s">
        <v>150</v>
      </c>
      <c r="D9" s="31" t="s">
        <v>134</v>
      </c>
      <c r="E9" s="21">
        <v>305</v>
      </c>
      <c r="F9" s="18">
        <v>46722</v>
      </c>
      <c r="G9" s="18"/>
      <c r="H9" s="31" t="s">
        <v>135</v>
      </c>
      <c r="I9" s="28" t="s">
        <v>151</v>
      </c>
      <c r="J9" s="40">
        <f>IF($B9="","",IF($F9="",Annahmen!$C5,DATE(YEAR($F9),MONTH($F9),1)))</f>
        <v>46722</v>
      </c>
      <c r="K9" s="40">
        <f t="shared" si="0"/>
        <v>73050</v>
      </c>
    </row>
    <row r="10" spans="1:11" x14ac:dyDescent="0.2">
      <c r="A10" s="31" t="s">
        <v>140</v>
      </c>
      <c r="B10" s="39" t="s">
        <v>152</v>
      </c>
      <c r="C10" s="39" t="s">
        <v>153</v>
      </c>
      <c r="D10" s="31" t="s">
        <v>154</v>
      </c>
      <c r="E10" s="21">
        <v>0</v>
      </c>
      <c r="F10" s="18">
        <v>46266</v>
      </c>
      <c r="G10" s="18"/>
      <c r="H10" s="31" t="s">
        <v>155</v>
      </c>
      <c r="I10" s="28" t="s">
        <v>156</v>
      </c>
      <c r="J10" s="40">
        <f>IF($B10="","",IF($F10="",Annahmen!$C5,DATE(YEAR($F10),MONTH($F10),1)))</f>
        <v>46266</v>
      </c>
      <c r="K10" s="40">
        <f t="shared" si="0"/>
        <v>73050</v>
      </c>
    </row>
    <row r="11" spans="1:11" x14ac:dyDescent="0.2">
      <c r="A11" s="31"/>
      <c r="B11" s="31"/>
      <c r="C11" s="31"/>
      <c r="D11" s="31"/>
      <c r="E11" s="21"/>
      <c r="F11" s="18"/>
      <c r="G11" s="18"/>
      <c r="H11" s="31"/>
      <c r="I11" s="35"/>
      <c r="J11" s="40" t="str">
        <f>IF($B11="","",IF($F11="",Annahmen!$C5,DATE(YEAR($F11),MONTH($F11),1)))</f>
        <v/>
      </c>
      <c r="K11" s="40" t="str">
        <f t="shared" si="0"/>
        <v/>
      </c>
    </row>
    <row r="12" spans="1:11" x14ac:dyDescent="0.2">
      <c r="A12" s="31"/>
      <c r="B12" s="31"/>
      <c r="C12" s="31"/>
      <c r="D12" s="31"/>
      <c r="E12" s="21"/>
      <c r="F12" s="18"/>
      <c r="G12" s="18"/>
      <c r="H12" s="31"/>
      <c r="I12" s="35"/>
      <c r="J12" s="40" t="str">
        <f>IF($B12="","",IF($F12="",Annahmen!$C5,DATE(YEAR($F12),MONTH($F12),1)))</f>
        <v/>
      </c>
      <c r="K12" s="40" t="str">
        <f t="shared" si="0"/>
        <v/>
      </c>
    </row>
    <row r="13" spans="1:11" x14ac:dyDescent="0.2">
      <c r="A13" s="31"/>
      <c r="B13" s="31"/>
      <c r="C13" s="31"/>
      <c r="D13" s="31"/>
      <c r="E13" s="21"/>
      <c r="F13" s="18"/>
      <c r="G13" s="18"/>
      <c r="H13" s="31"/>
      <c r="I13" s="35"/>
      <c r="J13" s="40" t="str">
        <f>IF($B13="","",IF($F13="",Annahmen!$C5,DATE(YEAR($F13),MONTH($F13),1)))</f>
        <v/>
      </c>
      <c r="K13" s="40" t="str">
        <f t="shared" si="0"/>
        <v/>
      </c>
    </row>
    <row r="14" spans="1:11" x14ac:dyDescent="0.2">
      <c r="A14" s="31"/>
      <c r="B14" s="31"/>
      <c r="C14" s="31"/>
      <c r="D14" s="31"/>
      <c r="E14" s="21"/>
      <c r="F14" s="18"/>
      <c r="G14" s="18"/>
      <c r="H14" s="31"/>
      <c r="I14" s="35"/>
      <c r="J14" s="40" t="str">
        <f>IF($B14="","",IF($F14="",Annahmen!$C5,DATE(YEAR($F14),MONTH($F14),1)))</f>
        <v/>
      </c>
      <c r="K14" s="40" t="str">
        <f t="shared" si="0"/>
        <v/>
      </c>
    </row>
    <row r="15" spans="1:11" x14ac:dyDescent="0.2">
      <c r="A15" s="31"/>
      <c r="B15" s="31"/>
      <c r="C15" s="31"/>
      <c r="D15" s="31"/>
      <c r="E15" s="21"/>
      <c r="F15" s="18"/>
      <c r="G15" s="18"/>
      <c r="H15" s="31"/>
      <c r="I15" s="35"/>
      <c r="J15" s="40" t="str">
        <f>IF($B15="","",IF($F15="",Annahmen!$C5,DATE(YEAR($F15),MONTH($F15),1)))</f>
        <v/>
      </c>
      <c r="K15" s="40" t="str">
        <f t="shared" si="0"/>
        <v/>
      </c>
    </row>
    <row r="16" spans="1:11" x14ac:dyDescent="0.2">
      <c r="A16" s="31"/>
      <c r="B16" s="31"/>
      <c r="C16" s="31"/>
      <c r="D16" s="31"/>
      <c r="E16" s="21"/>
      <c r="F16" s="18"/>
      <c r="G16" s="18"/>
      <c r="H16" s="31"/>
      <c r="I16" s="35"/>
      <c r="J16" s="40" t="str">
        <f>IF($B16="","",IF($F16="",Annahmen!$C5,DATE(YEAR($F16),MONTH($F16),1)))</f>
        <v/>
      </c>
      <c r="K16" s="40" t="str">
        <f t="shared" si="0"/>
        <v/>
      </c>
    </row>
    <row r="17" spans="1:11" x14ac:dyDescent="0.2">
      <c r="A17" s="31"/>
      <c r="B17" s="31"/>
      <c r="C17" s="31"/>
      <c r="D17" s="31"/>
      <c r="E17" s="21"/>
      <c r="F17" s="18"/>
      <c r="G17" s="18"/>
      <c r="H17" s="31"/>
      <c r="I17" s="35"/>
      <c r="J17" s="40" t="str">
        <f>IF($B17="","",IF($F17="",Annahmen!$C5,DATE(YEAR($F17),MONTH($F17),1)))</f>
        <v/>
      </c>
      <c r="K17" s="40" t="str">
        <f t="shared" si="0"/>
        <v/>
      </c>
    </row>
    <row r="18" spans="1:11" x14ac:dyDescent="0.2">
      <c r="A18" s="31"/>
      <c r="B18" s="31"/>
      <c r="C18" s="31"/>
      <c r="D18" s="31"/>
      <c r="E18" s="21"/>
      <c r="F18" s="18"/>
      <c r="G18" s="18"/>
      <c r="H18" s="31"/>
      <c r="I18" s="35"/>
      <c r="J18" s="40" t="str">
        <f>IF($B18="","",IF($F18="",Annahmen!$C5,DATE(YEAR($F18),MONTH($F18),1)))</f>
        <v/>
      </c>
      <c r="K18" s="40" t="str">
        <f t="shared" si="0"/>
        <v/>
      </c>
    </row>
    <row r="19" spans="1:11" x14ac:dyDescent="0.2">
      <c r="A19" s="31"/>
      <c r="B19" s="31"/>
      <c r="C19" s="31"/>
      <c r="D19" s="31"/>
      <c r="E19" s="21"/>
      <c r="F19" s="18"/>
      <c r="G19" s="18"/>
      <c r="H19" s="31"/>
      <c r="I19" s="35"/>
      <c r="J19" s="40" t="str">
        <f>IF($B19="","",IF($F19="",Annahmen!$C5,DATE(YEAR($F19),MONTH($F19),1)))</f>
        <v/>
      </c>
      <c r="K19" s="40" t="str">
        <f t="shared" si="0"/>
        <v/>
      </c>
    </row>
    <row r="20" spans="1:11" x14ac:dyDescent="0.2">
      <c r="A20" s="31"/>
      <c r="B20" s="31"/>
      <c r="C20" s="31"/>
      <c r="D20" s="31"/>
      <c r="E20" s="21"/>
      <c r="F20" s="18"/>
      <c r="G20" s="18"/>
      <c r="H20" s="31"/>
      <c r="I20" s="35"/>
      <c r="J20" s="40" t="str">
        <f>IF($B20="","",IF($F20="",Annahmen!$C5,DATE(YEAR($F20),MONTH($F20),1)))</f>
        <v/>
      </c>
      <c r="K20" s="40" t="str">
        <f t="shared" si="0"/>
        <v/>
      </c>
    </row>
    <row r="21" spans="1:11" x14ac:dyDescent="0.2">
      <c r="A21" s="31"/>
      <c r="B21" s="31"/>
      <c r="C21" s="31"/>
      <c r="D21" s="31"/>
      <c r="E21" s="21"/>
      <c r="F21" s="18"/>
      <c r="G21" s="18"/>
      <c r="H21" s="31"/>
      <c r="I21" s="35"/>
      <c r="J21" s="40" t="str">
        <f>IF($B21="","",IF($F21="",Annahmen!$C5,DATE(YEAR($F21),MONTH($F21),1)))</f>
        <v/>
      </c>
      <c r="K21" s="40" t="str">
        <f t="shared" si="0"/>
        <v/>
      </c>
    </row>
    <row r="22" spans="1:11" x14ac:dyDescent="0.2">
      <c r="A22" s="31"/>
      <c r="B22" s="31"/>
      <c r="C22" s="31"/>
      <c r="D22" s="31"/>
      <c r="E22" s="21"/>
      <c r="F22" s="18"/>
      <c r="G22" s="18"/>
      <c r="H22" s="31"/>
      <c r="I22" s="35"/>
      <c r="J22" s="40" t="str">
        <f>IF($B22="","",IF($F22="",Annahmen!$C5,DATE(YEAR($F22),MONTH($F22),1)))</f>
        <v/>
      </c>
      <c r="K22" s="40" t="str">
        <f t="shared" si="0"/>
        <v/>
      </c>
    </row>
    <row r="23" spans="1:11" x14ac:dyDescent="0.2">
      <c r="A23" s="31"/>
      <c r="B23" s="31"/>
      <c r="C23" s="31"/>
      <c r="D23" s="31"/>
      <c r="E23" s="21"/>
      <c r="F23" s="18"/>
      <c r="G23" s="18"/>
      <c r="H23" s="31"/>
      <c r="I23" s="35"/>
      <c r="J23" s="40" t="str">
        <f>IF($B23="","",IF($F23="",Annahmen!$C5,DATE(YEAR($F23),MONTH($F23),1)))</f>
        <v/>
      </c>
      <c r="K23" s="40" t="str">
        <f t="shared" si="0"/>
        <v/>
      </c>
    </row>
    <row r="24" spans="1:11" x14ac:dyDescent="0.2">
      <c r="A24" s="31"/>
      <c r="B24" s="31"/>
      <c r="C24" s="31"/>
      <c r="D24" s="31"/>
      <c r="E24" s="21"/>
      <c r="F24" s="18"/>
      <c r="G24" s="18"/>
      <c r="H24" s="31"/>
      <c r="I24" s="35"/>
      <c r="J24" s="40" t="str">
        <f>IF($B24="","",IF($F24="",Annahmen!$C5,DATE(YEAR($F24),MONTH($F24),1)))</f>
        <v/>
      </c>
      <c r="K24" s="40" t="str">
        <f t="shared" si="0"/>
        <v/>
      </c>
    </row>
    <row r="25" spans="1:11" x14ac:dyDescent="0.2">
      <c r="A25" s="31"/>
      <c r="B25" s="31"/>
      <c r="C25" s="31"/>
      <c r="D25" s="31"/>
      <c r="E25" s="21"/>
      <c r="F25" s="18"/>
      <c r="G25" s="18"/>
      <c r="H25" s="31"/>
      <c r="I25" s="35"/>
      <c r="J25" s="40" t="str">
        <f>IF($B25="","",IF($F25="",Annahmen!$C5,DATE(YEAR($F25),MONTH($F25),1)))</f>
        <v/>
      </c>
      <c r="K25" s="40" t="str">
        <f t="shared" si="0"/>
        <v/>
      </c>
    </row>
    <row r="26" spans="1:11" x14ac:dyDescent="0.2">
      <c r="A26" s="31"/>
      <c r="B26" s="31"/>
      <c r="C26" s="31"/>
      <c r="D26" s="31"/>
      <c r="E26" s="21"/>
      <c r="F26" s="18"/>
      <c r="G26" s="18"/>
      <c r="H26" s="31"/>
      <c r="I26" s="35"/>
      <c r="J26" s="40" t="str">
        <f>IF($B26="","",IF($F26="",Annahmen!$C5,DATE(YEAR($F26),MONTH($F26),1)))</f>
        <v/>
      </c>
      <c r="K26" s="40" t="str">
        <f t="shared" si="0"/>
        <v/>
      </c>
    </row>
    <row r="27" spans="1:11" x14ac:dyDescent="0.2">
      <c r="A27" s="31"/>
      <c r="B27" s="31"/>
      <c r="C27" s="31"/>
      <c r="D27" s="31"/>
      <c r="E27" s="21"/>
      <c r="F27" s="18"/>
      <c r="G27" s="18"/>
      <c r="H27" s="31"/>
      <c r="I27" s="35"/>
      <c r="J27" s="40" t="str">
        <f>IF($B27="","",IF($F27="",Annahmen!$C5,DATE(YEAR($F27),MONTH($F27),1)))</f>
        <v/>
      </c>
      <c r="K27" s="40" t="str">
        <f t="shared" si="0"/>
        <v/>
      </c>
    </row>
    <row r="28" spans="1:11" x14ac:dyDescent="0.2">
      <c r="A28" s="31"/>
      <c r="B28" s="31"/>
      <c r="C28" s="31"/>
      <c r="D28" s="31"/>
      <c r="E28" s="21"/>
      <c r="F28" s="18"/>
      <c r="G28" s="18"/>
      <c r="H28" s="31"/>
      <c r="I28" s="35"/>
      <c r="J28" s="40" t="str">
        <f>IF($B28="","",IF($F28="",Annahmen!$C5,DATE(YEAR($F28),MONTH($F28),1)))</f>
        <v/>
      </c>
      <c r="K28" s="40" t="str">
        <f t="shared" si="0"/>
        <v/>
      </c>
    </row>
    <row r="29" spans="1:11" x14ac:dyDescent="0.2">
      <c r="A29" s="31"/>
      <c r="B29" s="31"/>
      <c r="C29" s="31"/>
      <c r="D29" s="31"/>
      <c r="E29" s="21"/>
      <c r="F29" s="18"/>
      <c r="G29" s="18"/>
      <c r="H29" s="31"/>
      <c r="I29" s="35"/>
      <c r="J29" s="40" t="str">
        <f>IF($B29="","",IF($F29="",Annahmen!$C5,DATE(YEAR($F29),MONTH($F29),1)))</f>
        <v/>
      </c>
      <c r="K29" s="40" t="str">
        <f t="shared" si="0"/>
        <v/>
      </c>
    </row>
    <row r="30" spans="1:11" x14ac:dyDescent="0.2">
      <c r="A30" s="31"/>
      <c r="B30" s="31"/>
      <c r="C30" s="31"/>
      <c r="D30" s="31"/>
      <c r="E30" s="21"/>
      <c r="F30" s="18"/>
      <c r="G30" s="18"/>
      <c r="H30" s="31"/>
      <c r="I30" s="35"/>
      <c r="J30" s="40" t="str">
        <f>IF($B30="","",IF($F30="",Annahmen!$C5,DATE(YEAR($F30),MONTH($F30),1)))</f>
        <v/>
      </c>
      <c r="K30" s="40" t="str">
        <f t="shared" si="0"/>
        <v/>
      </c>
    </row>
    <row r="31" spans="1:11" x14ac:dyDescent="0.2">
      <c r="A31" s="31"/>
      <c r="B31" s="31"/>
      <c r="C31" s="31"/>
      <c r="D31" s="31"/>
      <c r="E31" s="21"/>
      <c r="F31" s="18"/>
      <c r="G31" s="18"/>
      <c r="H31" s="31"/>
      <c r="I31" s="35"/>
      <c r="J31" s="40" t="str">
        <f>IF($B31="","",IF($F31="",Annahmen!$C5,DATE(YEAR($F31),MONTH($F31),1)))</f>
        <v/>
      </c>
      <c r="K31" s="40" t="str">
        <f t="shared" si="0"/>
        <v/>
      </c>
    </row>
    <row r="32" spans="1:11" x14ac:dyDescent="0.2">
      <c r="A32" s="31"/>
      <c r="B32" s="31"/>
      <c r="C32" s="31"/>
      <c r="D32" s="31"/>
      <c r="E32" s="21"/>
      <c r="F32" s="18"/>
      <c r="G32" s="18"/>
      <c r="H32" s="31"/>
      <c r="I32" s="35"/>
      <c r="J32" s="40" t="str">
        <f>IF($B32="","",IF($F32="",Annahmen!$C5,DATE(YEAR($F32),MONTH($F32),1)))</f>
        <v/>
      </c>
      <c r="K32" s="40" t="str">
        <f t="shared" si="0"/>
        <v/>
      </c>
    </row>
    <row r="33" spans="1:11" x14ac:dyDescent="0.2">
      <c r="A33" s="31"/>
      <c r="B33" s="31"/>
      <c r="C33" s="31"/>
      <c r="D33" s="31"/>
      <c r="E33" s="21"/>
      <c r="F33" s="18"/>
      <c r="G33" s="18"/>
      <c r="H33" s="31"/>
      <c r="I33" s="35"/>
      <c r="J33" s="40" t="str">
        <f>IF($B33="","",IF($F33="",Annahmen!$C5,DATE(YEAR($F33),MONTH($F33),1)))</f>
        <v/>
      </c>
      <c r="K33" s="40" t="str">
        <f t="shared" si="0"/>
        <v/>
      </c>
    </row>
    <row r="34" spans="1:11" x14ac:dyDescent="0.2">
      <c r="A34" s="31"/>
      <c r="B34" s="31"/>
      <c r="C34" s="31"/>
      <c r="D34" s="31"/>
      <c r="E34" s="21"/>
      <c r="F34" s="18"/>
      <c r="G34" s="18"/>
      <c r="H34" s="31"/>
      <c r="I34" s="35"/>
      <c r="J34" s="40" t="str">
        <f>IF($B34="","",IF($F34="",Annahmen!$C5,DATE(YEAR($F34),MONTH($F34),1)))</f>
        <v/>
      </c>
      <c r="K34" s="40" t="str">
        <f t="shared" si="0"/>
        <v/>
      </c>
    </row>
    <row r="35" spans="1:11" x14ac:dyDescent="0.2">
      <c r="A35" s="31"/>
      <c r="B35" s="31"/>
      <c r="C35" s="31"/>
      <c r="D35" s="31"/>
      <c r="E35" s="21"/>
      <c r="F35" s="18"/>
      <c r="G35" s="18"/>
      <c r="H35" s="31"/>
      <c r="I35" s="35"/>
      <c r="J35" s="40" t="str">
        <f>IF($B35="","",IF($F35="",Annahmen!$C5,DATE(YEAR($F35),MONTH($F35),1)))</f>
        <v/>
      </c>
      <c r="K35" s="40" t="str">
        <f t="shared" si="0"/>
        <v/>
      </c>
    </row>
    <row r="36" spans="1:11" x14ac:dyDescent="0.2">
      <c r="A36" s="31"/>
      <c r="B36" s="31"/>
      <c r="C36" s="31"/>
      <c r="D36" s="31"/>
      <c r="E36" s="21"/>
      <c r="F36" s="18"/>
      <c r="G36" s="18"/>
      <c r="H36" s="31"/>
      <c r="I36" s="35"/>
      <c r="J36" s="40" t="str">
        <f>IF($B36="","",IF($F36="",Annahmen!$C5,DATE(YEAR($F36),MONTH($F36),1)))</f>
        <v/>
      </c>
      <c r="K36" s="40" t="str">
        <f t="shared" ref="K36:K63" si="1">IF($B36="","",IF($G36="",DATE(2099,12,31),DATE(YEAR($G36),MONTH($G36),1)))</f>
        <v/>
      </c>
    </row>
    <row r="37" spans="1:11" x14ac:dyDescent="0.2">
      <c r="A37" s="31"/>
      <c r="B37" s="31"/>
      <c r="C37" s="31"/>
      <c r="D37" s="31"/>
      <c r="E37" s="21"/>
      <c r="F37" s="18"/>
      <c r="G37" s="18"/>
      <c r="H37" s="31"/>
      <c r="I37" s="35"/>
      <c r="J37" s="40" t="str">
        <f>IF($B37="","",IF($F37="",Annahmen!$C5,DATE(YEAR($F37),MONTH($F37),1)))</f>
        <v/>
      </c>
      <c r="K37" s="40" t="str">
        <f t="shared" si="1"/>
        <v/>
      </c>
    </row>
    <row r="38" spans="1:11" x14ac:dyDescent="0.2">
      <c r="A38" s="31"/>
      <c r="B38" s="31"/>
      <c r="C38" s="31"/>
      <c r="D38" s="31"/>
      <c r="E38" s="21"/>
      <c r="F38" s="18"/>
      <c r="G38" s="18"/>
      <c r="H38" s="31"/>
      <c r="I38" s="35"/>
      <c r="J38" s="40" t="str">
        <f>IF($B38="","",IF($F38="",Annahmen!$C5,DATE(YEAR($F38),MONTH($F38),1)))</f>
        <v/>
      </c>
      <c r="K38" s="40" t="str">
        <f t="shared" si="1"/>
        <v/>
      </c>
    </row>
    <row r="39" spans="1:11" x14ac:dyDescent="0.2">
      <c r="A39" s="31"/>
      <c r="B39" s="31"/>
      <c r="C39" s="31"/>
      <c r="D39" s="31"/>
      <c r="E39" s="21"/>
      <c r="F39" s="18"/>
      <c r="G39" s="18"/>
      <c r="H39" s="31"/>
      <c r="I39" s="35"/>
      <c r="J39" s="40" t="str">
        <f>IF($B39="","",IF($F39="",Annahmen!$C5,DATE(YEAR($F39),MONTH($F39),1)))</f>
        <v/>
      </c>
      <c r="K39" s="40" t="str">
        <f t="shared" si="1"/>
        <v/>
      </c>
    </row>
    <row r="40" spans="1:11" x14ac:dyDescent="0.2">
      <c r="A40" s="31"/>
      <c r="B40" s="31"/>
      <c r="C40" s="31"/>
      <c r="D40" s="31"/>
      <c r="E40" s="21"/>
      <c r="F40" s="18"/>
      <c r="G40" s="18"/>
      <c r="H40" s="31"/>
      <c r="I40" s="35"/>
      <c r="J40" s="40" t="str">
        <f>IF($B40="","",IF($F40="",Annahmen!$C5,DATE(YEAR($F40),MONTH($F40),1)))</f>
        <v/>
      </c>
      <c r="K40" s="40" t="str">
        <f t="shared" si="1"/>
        <v/>
      </c>
    </row>
    <row r="41" spans="1:11" x14ac:dyDescent="0.2">
      <c r="A41" s="31"/>
      <c r="B41" s="31"/>
      <c r="C41" s="31"/>
      <c r="D41" s="31"/>
      <c r="E41" s="21"/>
      <c r="F41" s="18"/>
      <c r="G41" s="18"/>
      <c r="H41" s="31"/>
      <c r="I41" s="35"/>
      <c r="J41" s="40" t="str">
        <f>IF($B41="","",IF($F41="",Annahmen!$C5,DATE(YEAR($F41),MONTH($F41),1)))</f>
        <v/>
      </c>
      <c r="K41" s="40" t="str">
        <f t="shared" si="1"/>
        <v/>
      </c>
    </row>
    <row r="42" spans="1:11" x14ac:dyDescent="0.2">
      <c r="A42" s="31"/>
      <c r="B42" s="31"/>
      <c r="C42" s="31"/>
      <c r="D42" s="31"/>
      <c r="E42" s="21"/>
      <c r="F42" s="18"/>
      <c r="G42" s="18"/>
      <c r="H42" s="31"/>
      <c r="I42" s="35"/>
      <c r="J42" s="40" t="str">
        <f>IF($B42="","",IF($F42="",Annahmen!$C5,DATE(YEAR($F42),MONTH($F42),1)))</f>
        <v/>
      </c>
      <c r="K42" s="40" t="str">
        <f t="shared" si="1"/>
        <v/>
      </c>
    </row>
    <row r="43" spans="1:11" x14ac:dyDescent="0.2">
      <c r="A43" s="31"/>
      <c r="B43" s="31"/>
      <c r="C43" s="31"/>
      <c r="D43" s="31"/>
      <c r="E43" s="21"/>
      <c r="F43" s="18"/>
      <c r="G43" s="18"/>
      <c r="H43" s="31"/>
      <c r="I43" s="35"/>
      <c r="J43" s="40" t="str">
        <f>IF($B43="","",IF($F43="",Annahmen!$C5,DATE(YEAR($F43),MONTH($F43),1)))</f>
        <v/>
      </c>
      <c r="K43" s="40" t="str">
        <f t="shared" si="1"/>
        <v/>
      </c>
    </row>
    <row r="44" spans="1:11" x14ac:dyDescent="0.2">
      <c r="A44" s="31"/>
      <c r="B44" s="31"/>
      <c r="C44" s="31"/>
      <c r="D44" s="31"/>
      <c r="E44" s="21"/>
      <c r="F44" s="18"/>
      <c r="G44" s="18"/>
      <c r="H44" s="31"/>
      <c r="I44" s="35"/>
      <c r="J44" s="40" t="str">
        <f>IF($B44="","",IF($F44="",Annahmen!$C5,DATE(YEAR($F44),MONTH($F44),1)))</f>
        <v/>
      </c>
      <c r="K44" s="40" t="str">
        <f t="shared" si="1"/>
        <v/>
      </c>
    </row>
    <row r="45" spans="1:11" x14ac:dyDescent="0.2">
      <c r="A45" s="31"/>
      <c r="B45" s="31"/>
      <c r="C45" s="31"/>
      <c r="D45" s="31"/>
      <c r="E45" s="21"/>
      <c r="F45" s="18"/>
      <c r="G45" s="18"/>
      <c r="H45" s="31"/>
      <c r="I45" s="35"/>
      <c r="J45" s="40" t="str">
        <f>IF($B45="","",IF($F45="",Annahmen!$C5,DATE(YEAR($F45),MONTH($F45),1)))</f>
        <v/>
      </c>
      <c r="K45" s="40" t="str">
        <f t="shared" si="1"/>
        <v/>
      </c>
    </row>
    <row r="46" spans="1:11" x14ac:dyDescent="0.2">
      <c r="A46" s="31"/>
      <c r="B46" s="31"/>
      <c r="C46" s="31"/>
      <c r="D46" s="31"/>
      <c r="E46" s="21"/>
      <c r="F46" s="18"/>
      <c r="G46" s="18"/>
      <c r="H46" s="31"/>
      <c r="I46" s="35"/>
      <c r="J46" s="40" t="str">
        <f>IF($B46="","",IF($F46="",Annahmen!$C5,DATE(YEAR($F46),MONTH($F46),1)))</f>
        <v/>
      </c>
      <c r="K46" s="40" t="str">
        <f t="shared" si="1"/>
        <v/>
      </c>
    </row>
    <row r="47" spans="1:11" x14ac:dyDescent="0.2">
      <c r="A47" s="31"/>
      <c r="B47" s="31"/>
      <c r="C47" s="31"/>
      <c r="D47" s="31"/>
      <c r="E47" s="21"/>
      <c r="F47" s="18"/>
      <c r="G47" s="18"/>
      <c r="H47" s="31"/>
      <c r="I47" s="35"/>
      <c r="J47" s="40" t="str">
        <f>IF($B47="","",IF($F47="",Annahmen!$C5,DATE(YEAR($F47),MONTH($F47),1)))</f>
        <v/>
      </c>
      <c r="K47" s="40" t="str">
        <f t="shared" si="1"/>
        <v/>
      </c>
    </row>
    <row r="48" spans="1:11" x14ac:dyDescent="0.2">
      <c r="A48" s="31"/>
      <c r="B48" s="31"/>
      <c r="C48" s="31"/>
      <c r="D48" s="31"/>
      <c r="E48" s="21"/>
      <c r="F48" s="18"/>
      <c r="G48" s="18"/>
      <c r="H48" s="31"/>
      <c r="I48" s="35"/>
      <c r="J48" s="40" t="str">
        <f>IF($B48="","",IF($F48="",Annahmen!$C5,DATE(YEAR($F48),MONTH($F48),1)))</f>
        <v/>
      </c>
      <c r="K48" s="40" t="str">
        <f t="shared" si="1"/>
        <v/>
      </c>
    </row>
    <row r="49" spans="1:11" x14ac:dyDescent="0.2">
      <c r="A49" s="31"/>
      <c r="B49" s="31"/>
      <c r="C49" s="31"/>
      <c r="D49" s="31"/>
      <c r="E49" s="21"/>
      <c r="F49" s="18"/>
      <c r="G49" s="18"/>
      <c r="H49" s="31"/>
      <c r="I49" s="35"/>
      <c r="J49" s="40" t="str">
        <f>IF($B49="","",IF($F49="",Annahmen!$C5,DATE(YEAR($F49),MONTH($F49),1)))</f>
        <v/>
      </c>
      <c r="K49" s="40" t="str">
        <f t="shared" si="1"/>
        <v/>
      </c>
    </row>
    <row r="50" spans="1:11" x14ac:dyDescent="0.2">
      <c r="A50" s="31"/>
      <c r="B50" s="31"/>
      <c r="C50" s="31"/>
      <c r="D50" s="31"/>
      <c r="E50" s="21"/>
      <c r="F50" s="18"/>
      <c r="G50" s="18"/>
      <c r="H50" s="31"/>
      <c r="I50" s="35"/>
      <c r="J50" s="40" t="str">
        <f>IF($B50="","",IF($F50="",Annahmen!$C5,DATE(YEAR($F50),MONTH($F50),1)))</f>
        <v/>
      </c>
      <c r="K50" s="40" t="str">
        <f t="shared" si="1"/>
        <v/>
      </c>
    </row>
    <row r="51" spans="1:11" x14ac:dyDescent="0.2">
      <c r="A51" s="31"/>
      <c r="B51" s="31"/>
      <c r="C51" s="31"/>
      <c r="D51" s="31"/>
      <c r="E51" s="21"/>
      <c r="F51" s="18"/>
      <c r="G51" s="18"/>
      <c r="H51" s="31"/>
      <c r="I51" s="35"/>
      <c r="J51" s="40" t="str">
        <f>IF($B51="","",IF($F51="",Annahmen!$C5,DATE(YEAR($F51),MONTH($F51),1)))</f>
        <v/>
      </c>
      <c r="K51" s="40" t="str">
        <f t="shared" si="1"/>
        <v/>
      </c>
    </row>
    <row r="52" spans="1:11" x14ac:dyDescent="0.2">
      <c r="A52" s="31"/>
      <c r="B52" s="31"/>
      <c r="C52" s="31"/>
      <c r="D52" s="31"/>
      <c r="E52" s="21"/>
      <c r="F52" s="18"/>
      <c r="G52" s="18"/>
      <c r="H52" s="31"/>
      <c r="I52" s="35"/>
      <c r="J52" s="40" t="str">
        <f>IF($B52="","",IF($F52="",Annahmen!$C5,DATE(YEAR($F52),MONTH($F52),1)))</f>
        <v/>
      </c>
      <c r="K52" s="40" t="str">
        <f t="shared" si="1"/>
        <v/>
      </c>
    </row>
    <row r="53" spans="1:11" x14ac:dyDescent="0.2">
      <c r="A53" s="31"/>
      <c r="B53" s="31"/>
      <c r="C53" s="31"/>
      <c r="D53" s="31"/>
      <c r="E53" s="21"/>
      <c r="F53" s="18"/>
      <c r="G53" s="18"/>
      <c r="H53" s="31"/>
      <c r="I53" s="35"/>
      <c r="J53" s="40" t="str">
        <f>IF($B53="","",IF($F53="",Annahmen!$C5,DATE(YEAR($F53),MONTH($F53),1)))</f>
        <v/>
      </c>
      <c r="K53" s="40" t="str">
        <f t="shared" si="1"/>
        <v/>
      </c>
    </row>
    <row r="54" spans="1:11" x14ac:dyDescent="0.2">
      <c r="A54" s="31"/>
      <c r="B54" s="31"/>
      <c r="C54" s="31"/>
      <c r="D54" s="31"/>
      <c r="E54" s="21"/>
      <c r="F54" s="18"/>
      <c r="G54" s="18"/>
      <c r="H54" s="31"/>
      <c r="I54" s="35"/>
      <c r="J54" s="40" t="str">
        <f>IF($B54="","",IF($F54="",Annahmen!$C5,DATE(YEAR($F54),MONTH($F54),1)))</f>
        <v/>
      </c>
      <c r="K54" s="40" t="str">
        <f t="shared" si="1"/>
        <v/>
      </c>
    </row>
    <row r="55" spans="1:11" x14ac:dyDescent="0.2">
      <c r="A55" s="31"/>
      <c r="B55" s="31"/>
      <c r="C55" s="31"/>
      <c r="D55" s="31"/>
      <c r="E55" s="21"/>
      <c r="F55" s="18"/>
      <c r="G55" s="18"/>
      <c r="H55" s="31"/>
      <c r="I55" s="35"/>
      <c r="J55" s="40" t="str">
        <f>IF($B55="","",IF($F55="",Annahmen!$C5,DATE(YEAR($F55),MONTH($F55),1)))</f>
        <v/>
      </c>
      <c r="K55" s="40" t="str">
        <f t="shared" si="1"/>
        <v/>
      </c>
    </row>
    <row r="56" spans="1:11" x14ac:dyDescent="0.2">
      <c r="A56" s="31"/>
      <c r="B56" s="31"/>
      <c r="C56" s="31"/>
      <c r="D56" s="31"/>
      <c r="E56" s="21"/>
      <c r="F56" s="18"/>
      <c r="G56" s="18"/>
      <c r="H56" s="31"/>
      <c r="I56" s="35"/>
      <c r="J56" s="40" t="str">
        <f>IF($B56="","",IF($F56="",Annahmen!$C5,DATE(YEAR($F56),MONTH($F56),1)))</f>
        <v/>
      </c>
      <c r="K56" s="40" t="str">
        <f t="shared" si="1"/>
        <v/>
      </c>
    </row>
    <row r="57" spans="1:11" x14ac:dyDescent="0.2">
      <c r="A57" s="31"/>
      <c r="B57" s="31"/>
      <c r="C57" s="31"/>
      <c r="D57" s="31"/>
      <c r="E57" s="21"/>
      <c r="F57" s="18"/>
      <c r="G57" s="18"/>
      <c r="H57" s="31"/>
      <c r="I57" s="35"/>
      <c r="J57" s="40" t="str">
        <f>IF($B57="","",IF($F57="",Annahmen!$C5,DATE(YEAR($F57),MONTH($F57),1)))</f>
        <v/>
      </c>
      <c r="K57" s="40" t="str">
        <f t="shared" si="1"/>
        <v/>
      </c>
    </row>
    <row r="58" spans="1:11" x14ac:dyDescent="0.2">
      <c r="A58" s="31"/>
      <c r="B58" s="31"/>
      <c r="C58" s="31"/>
      <c r="D58" s="31"/>
      <c r="E58" s="21"/>
      <c r="F58" s="18"/>
      <c r="G58" s="18"/>
      <c r="H58" s="31"/>
      <c r="I58" s="35"/>
      <c r="J58" s="40" t="str">
        <f>IF($B58="","",IF($F58="",Annahmen!$C5,DATE(YEAR($F58),MONTH($F58),1)))</f>
        <v/>
      </c>
      <c r="K58" s="40" t="str">
        <f t="shared" si="1"/>
        <v/>
      </c>
    </row>
    <row r="59" spans="1:11" x14ac:dyDescent="0.2">
      <c r="A59" s="31"/>
      <c r="B59" s="31"/>
      <c r="C59" s="31"/>
      <c r="D59" s="31"/>
      <c r="E59" s="21"/>
      <c r="F59" s="18"/>
      <c r="G59" s="18"/>
      <c r="H59" s="31"/>
      <c r="I59" s="35"/>
      <c r="J59" s="40" t="str">
        <f>IF($B59="","",IF($F59="",Annahmen!$C5,DATE(YEAR($F59),MONTH($F59),1)))</f>
        <v/>
      </c>
      <c r="K59" s="40" t="str">
        <f t="shared" si="1"/>
        <v/>
      </c>
    </row>
    <row r="60" spans="1:11" x14ac:dyDescent="0.2">
      <c r="A60" s="31"/>
      <c r="B60" s="31"/>
      <c r="C60" s="31"/>
      <c r="D60" s="31"/>
      <c r="E60" s="21"/>
      <c r="F60" s="18"/>
      <c r="G60" s="18"/>
      <c r="H60" s="31"/>
      <c r="I60" s="35"/>
      <c r="J60" s="40" t="str">
        <f>IF($B60="","",IF($F60="",Annahmen!$C5,DATE(YEAR($F60),MONTH($F60),1)))</f>
        <v/>
      </c>
      <c r="K60" s="40" t="str">
        <f t="shared" si="1"/>
        <v/>
      </c>
    </row>
    <row r="61" spans="1:11" x14ac:dyDescent="0.2">
      <c r="A61" s="31"/>
      <c r="B61" s="31"/>
      <c r="C61" s="31"/>
      <c r="D61" s="31"/>
      <c r="E61" s="21"/>
      <c r="F61" s="18"/>
      <c r="G61" s="18"/>
      <c r="H61" s="31"/>
      <c r="I61" s="35"/>
      <c r="J61" s="40" t="str">
        <f>IF($B61="","",IF($F61="",Annahmen!$C5,DATE(YEAR($F61),MONTH($F61),1)))</f>
        <v/>
      </c>
      <c r="K61" s="40" t="str">
        <f t="shared" si="1"/>
        <v/>
      </c>
    </row>
    <row r="62" spans="1:11" x14ac:dyDescent="0.2">
      <c r="A62" s="31"/>
      <c r="B62" s="31"/>
      <c r="C62" s="31"/>
      <c r="D62" s="31"/>
      <c r="E62" s="21"/>
      <c r="F62" s="18"/>
      <c r="G62" s="18"/>
      <c r="H62" s="31"/>
      <c r="I62" s="35"/>
      <c r="J62" s="40" t="str">
        <f>IF($B62="","",IF($F62="",Annahmen!$C5,DATE(YEAR($F62),MONTH($F62),1)))</f>
        <v/>
      </c>
      <c r="K62" s="40" t="str">
        <f t="shared" si="1"/>
        <v/>
      </c>
    </row>
    <row r="63" spans="1:11" x14ac:dyDescent="0.2">
      <c r="A63" s="31"/>
      <c r="B63" s="31"/>
      <c r="C63" s="31"/>
      <c r="D63" s="31"/>
      <c r="E63" s="21"/>
      <c r="F63" s="18"/>
      <c r="G63" s="18"/>
      <c r="H63" s="31"/>
      <c r="I63" s="35"/>
      <c r="J63" s="40" t="str">
        <f>IF($B63="","",IF($F63="",Annahmen!$C5,DATE(YEAR($F63),MONTH($F63),1)))</f>
        <v/>
      </c>
      <c r="K63" s="40" t="str">
        <f t="shared" si="1"/>
        <v/>
      </c>
    </row>
  </sheetData>
  <mergeCells count="1">
    <mergeCell ref="A2:I2"/>
  </mergeCells>
  <conditionalFormatting sqref="A4:I63">
    <cfRule type="expression" dxfId="1" priority="1">
      <formula>$A4="Nein"</formula>
    </cfRule>
  </conditionalFormatting>
  <dataValidations count="3">
    <dataValidation type="list" allowBlank="1" errorTitle="Ungültige Eingabe" error="Bitte einen Wert aus der Liste wählen." sqref="A4:A63" xr:uid="{00000000-0002-0000-0200-000000000000}">
      <formula1>"Ja,Nein"</formula1>
    </dataValidation>
    <dataValidation type="list" allowBlank="1" errorTitle="Ungültige Eingabe" error="Bitte einen Wert aus der Liste wählen." sqref="D4:D63" xr:uid="{00000000-0002-0000-0200-000001000000}">
      <formula1>"Einnahme,Ausgabe"</formula1>
    </dataValidation>
    <dataValidation type="list" allowBlank="1" errorTitle="Ungültige Eingabe" error="Bitte einen Wert aus der Liste wählen." sqref="H4:H63" xr:uid="{00000000-0002-0000-0200-000002000000}">
      <formula1>"Theo,Jule,Gemeinsam"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I4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44" customWidth="1"/>
    <col min="3" max="3" width="18" customWidth="1"/>
    <col min="4" max="4" width="13" customWidth="1"/>
    <col min="5" max="5" width="15" customWidth="1"/>
    <col min="6" max="7" width="14" customWidth="1"/>
    <col min="8" max="8" width="62" customWidth="1"/>
    <col min="9" max="9" width="14" customWidth="1"/>
  </cols>
  <sheetData>
    <row r="1" spans="1:9" ht="20" x14ac:dyDescent="0.2">
      <c r="A1" s="1" t="s">
        <v>157</v>
      </c>
    </row>
    <row r="2" spans="1:9" x14ac:dyDescent="0.2">
      <c r="A2" s="45" t="s">
        <v>158</v>
      </c>
      <c r="B2" s="42"/>
      <c r="C2" s="42"/>
      <c r="D2" s="42"/>
      <c r="E2" s="42"/>
      <c r="F2" s="42"/>
      <c r="G2" s="42"/>
      <c r="H2" s="42"/>
    </row>
    <row r="3" spans="1:9" ht="26" customHeight="1" x14ac:dyDescent="0.2">
      <c r="A3" s="8" t="s">
        <v>120</v>
      </c>
      <c r="B3" s="8" t="s">
        <v>121</v>
      </c>
      <c r="C3" s="8" t="s">
        <v>122</v>
      </c>
      <c r="D3" s="8" t="s">
        <v>123</v>
      </c>
      <c r="E3" s="8" t="s">
        <v>159</v>
      </c>
      <c r="F3" s="8" t="s">
        <v>13</v>
      </c>
      <c r="G3" s="8" t="s">
        <v>127</v>
      </c>
      <c r="H3" s="8" t="s">
        <v>128</v>
      </c>
      <c r="I3" s="38" t="s">
        <v>160</v>
      </c>
    </row>
    <row r="4" spans="1:9" ht="26" customHeight="1" x14ac:dyDescent="0.2">
      <c r="A4" s="31" t="s">
        <v>131</v>
      </c>
      <c r="B4" s="39" t="s">
        <v>161</v>
      </c>
      <c r="C4" s="39" t="s">
        <v>162</v>
      </c>
      <c r="D4" s="31" t="s">
        <v>154</v>
      </c>
      <c r="E4" s="21">
        <v>50000</v>
      </c>
      <c r="F4" s="18">
        <v>46266</v>
      </c>
      <c r="G4" s="31" t="s">
        <v>155</v>
      </c>
      <c r="H4" s="28" t="s">
        <v>163</v>
      </c>
      <c r="I4" s="40">
        <f t="shared" ref="I4:I43" si="0">IF($B4="","",IF($F4="","",DATE(YEAR($F4),MONTH($F4),1)))</f>
        <v>46266</v>
      </c>
    </row>
    <row r="5" spans="1:9" ht="26" customHeight="1" x14ac:dyDescent="0.2">
      <c r="A5" s="31" t="s">
        <v>131</v>
      </c>
      <c r="B5" s="39" t="s">
        <v>164</v>
      </c>
      <c r="C5" s="39" t="s">
        <v>150</v>
      </c>
      <c r="D5" s="31" t="s">
        <v>134</v>
      </c>
      <c r="E5" s="21">
        <v>13200</v>
      </c>
      <c r="F5" s="18">
        <v>46692</v>
      </c>
      <c r="G5" s="31" t="s">
        <v>135</v>
      </c>
      <c r="H5" s="28" t="s">
        <v>165</v>
      </c>
      <c r="I5" s="40">
        <f t="shared" si="0"/>
        <v>46692</v>
      </c>
    </row>
    <row r="6" spans="1:9" ht="26" customHeight="1" x14ac:dyDescent="0.2">
      <c r="A6" s="31" t="s">
        <v>131</v>
      </c>
      <c r="B6" s="39" t="s">
        <v>166</v>
      </c>
      <c r="C6" s="39" t="s">
        <v>150</v>
      </c>
      <c r="D6" s="31" t="s">
        <v>134</v>
      </c>
      <c r="E6" s="21">
        <v>2800</v>
      </c>
      <c r="F6" s="18">
        <v>46692</v>
      </c>
      <c r="G6" s="31" t="s">
        <v>135</v>
      </c>
      <c r="H6" s="28" t="s">
        <v>167</v>
      </c>
      <c r="I6" s="40">
        <f t="shared" si="0"/>
        <v>46692</v>
      </c>
    </row>
    <row r="7" spans="1:9" ht="26" customHeight="1" x14ac:dyDescent="0.2">
      <c r="A7" s="31" t="s">
        <v>131</v>
      </c>
      <c r="B7" s="39" t="s">
        <v>168</v>
      </c>
      <c r="C7" s="39" t="s">
        <v>169</v>
      </c>
      <c r="D7" s="31" t="s">
        <v>154</v>
      </c>
      <c r="E7" s="21">
        <v>900</v>
      </c>
      <c r="F7" s="18">
        <v>46327</v>
      </c>
      <c r="G7" s="31" t="s">
        <v>155</v>
      </c>
      <c r="H7" s="28" t="s">
        <v>170</v>
      </c>
      <c r="I7" s="40">
        <f t="shared" si="0"/>
        <v>46327</v>
      </c>
    </row>
    <row r="8" spans="1:9" ht="26" customHeight="1" x14ac:dyDescent="0.2">
      <c r="A8" s="31" t="s">
        <v>131</v>
      </c>
      <c r="B8" s="39" t="s">
        <v>171</v>
      </c>
      <c r="C8" s="39" t="s">
        <v>169</v>
      </c>
      <c r="D8" s="31" t="s">
        <v>154</v>
      </c>
      <c r="E8" s="21">
        <v>900</v>
      </c>
      <c r="F8" s="18">
        <v>46692</v>
      </c>
      <c r="G8" s="31" t="s">
        <v>155</v>
      </c>
      <c r="H8" s="28" t="s">
        <v>172</v>
      </c>
      <c r="I8" s="40">
        <f t="shared" si="0"/>
        <v>46692</v>
      </c>
    </row>
    <row r="9" spans="1:9" ht="26" customHeight="1" x14ac:dyDescent="0.2">
      <c r="A9" s="31" t="s">
        <v>140</v>
      </c>
      <c r="B9" s="39" t="s">
        <v>173</v>
      </c>
      <c r="C9" s="39" t="s">
        <v>174</v>
      </c>
      <c r="D9" s="31" t="s">
        <v>134</v>
      </c>
      <c r="E9" s="21">
        <v>15000</v>
      </c>
      <c r="F9" s="18">
        <v>46569</v>
      </c>
      <c r="G9" s="31" t="s">
        <v>135</v>
      </c>
      <c r="H9" s="28" t="s">
        <v>175</v>
      </c>
      <c r="I9" s="40">
        <f t="shared" si="0"/>
        <v>46569</v>
      </c>
    </row>
    <row r="10" spans="1:9" ht="26" customHeight="1" x14ac:dyDescent="0.2">
      <c r="A10" s="31" t="s">
        <v>140</v>
      </c>
      <c r="B10" s="39" t="s">
        <v>176</v>
      </c>
      <c r="C10" s="39" t="s">
        <v>174</v>
      </c>
      <c r="D10" s="31" t="s">
        <v>154</v>
      </c>
      <c r="E10" s="21">
        <v>0</v>
      </c>
      <c r="F10" s="18">
        <v>46600</v>
      </c>
      <c r="G10" s="31" t="s">
        <v>135</v>
      </c>
      <c r="H10" s="28" t="s">
        <v>146</v>
      </c>
      <c r="I10" s="40">
        <f t="shared" si="0"/>
        <v>46600</v>
      </c>
    </row>
    <row r="11" spans="1:9" ht="26" customHeight="1" x14ac:dyDescent="0.2">
      <c r="A11" s="31" t="s">
        <v>140</v>
      </c>
      <c r="B11" s="39" t="s">
        <v>177</v>
      </c>
      <c r="C11" s="39" t="s">
        <v>178</v>
      </c>
      <c r="D11" s="31" t="s">
        <v>134</v>
      </c>
      <c r="E11" s="21">
        <v>0</v>
      </c>
      <c r="F11" s="18">
        <v>46600</v>
      </c>
      <c r="G11" s="31" t="s">
        <v>135</v>
      </c>
      <c r="H11" s="28" t="s">
        <v>146</v>
      </c>
      <c r="I11" s="40">
        <f t="shared" si="0"/>
        <v>46600</v>
      </c>
    </row>
    <row r="12" spans="1:9" ht="26" customHeight="1" x14ac:dyDescent="0.2">
      <c r="A12" s="31" t="s">
        <v>140</v>
      </c>
      <c r="B12" s="39" t="s">
        <v>179</v>
      </c>
      <c r="C12" s="39" t="s">
        <v>180</v>
      </c>
      <c r="D12" s="31" t="s">
        <v>134</v>
      </c>
      <c r="E12" s="21">
        <v>0</v>
      </c>
      <c r="F12" s="18">
        <v>46447</v>
      </c>
      <c r="G12" s="31" t="s">
        <v>135</v>
      </c>
      <c r="H12" s="28" t="s">
        <v>146</v>
      </c>
      <c r="I12" s="40">
        <f t="shared" si="0"/>
        <v>46447</v>
      </c>
    </row>
    <row r="13" spans="1:9" x14ac:dyDescent="0.2">
      <c r="A13" s="31"/>
      <c r="B13" s="31"/>
      <c r="C13" s="31"/>
      <c r="D13" s="31"/>
      <c r="E13" s="21"/>
      <c r="F13" s="18"/>
      <c r="G13" s="31"/>
      <c r="H13" s="35"/>
      <c r="I13" s="40" t="str">
        <f t="shared" si="0"/>
        <v/>
      </c>
    </row>
    <row r="14" spans="1:9" x14ac:dyDescent="0.2">
      <c r="A14" s="31"/>
      <c r="B14" s="31"/>
      <c r="C14" s="31"/>
      <c r="D14" s="31"/>
      <c r="E14" s="21"/>
      <c r="F14" s="18"/>
      <c r="G14" s="31"/>
      <c r="H14" s="35"/>
      <c r="I14" s="40" t="str">
        <f t="shared" si="0"/>
        <v/>
      </c>
    </row>
    <row r="15" spans="1:9" x14ac:dyDescent="0.2">
      <c r="A15" s="31"/>
      <c r="B15" s="31"/>
      <c r="C15" s="31"/>
      <c r="D15" s="31"/>
      <c r="E15" s="21"/>
      <c r="F15" s="18"/>
      <c r="G15" s="31"/>
      <c r="H15" s="35"/>
      <c r="I15" s="40" t="str">
        <f t="shared" si="0"/>
        <v/>
      </c>
    </row>
    <row r="16" spans="1:9" x14ac:dyDescent="0.2">
      <c r="A16" s="31"/>
      <c r="B16" s="31"/>
      <c r="C16" s="31"/>
      <c r="D16" s="31"/>
      <c r="E16" s="21"/>
      <c r="F16" s="18"/>
      <c r="G16" s="31"/>
      <c r="H16" s="35"/>
      <c r="I16" s="40" t="str">
        <f t="shared" si="0"/>
        <v/>
      </c>
    </row>
    <row r="17" spans="1:9" x14ac:dyDescent="0.2">
      <c r="A17" s="31"/>
      <c r="B17" s="31"/>
      <c r="C17" s="31"/>
      <c r="D17" s="31"/>
      <c r="E17" s="21"/>
      <c r="F17" s="18"/>
      <c r="G17" s="31"/>
      <c r="H17" s="35"/>
      <c r="I17" s="40" t="str">
        <f t="shared" si="0"/>
        <v/>
      </c>
    </row>
    <row r="18" spans="1:9" x14ac:dyDescent="0.2">
      <c r="A18" s="31"/>
      <c r="B18" s="31"/>
      <c r="C18" s="31"/>
      <c r="D18" s="31"/>
      <c r="E18" s="21"/>
      <c r="F18" s="18"/>
      <c r="G18" s="31"/>
      <c r="H18" s="35"/>
      <c r="I18" s="40" t="str">
        <f t="shared" si="0"/>
        <v/>
      </c>
    </row>
    <row r="19" spans="1:9" x14ac:dyDescent="0.2">
      <c r="A19" s="31"/>
      <c r="B19" s="31"/>
      <c r="C19" s="31"/>
      <c r="D19" s="31"/>
      <c r="E19" s="21"/>
      <c r="F19" s="18"/>
      <c r="G19" s="31"/>
      <c r="H19" s="35"/>
      <c r="I19" s="40" t="str">
        <f t="shared" si="0"/>
        <v/>
      </c>
    </row>
    <row r="20" spans="1:9" x14ac:dyDescent="0.2">
      <c r="A20" s="31"/>
      <c r="B20" s="31"/>
      <c r="C20" s="31"/>
      <c r="D20" s="31"/>
      <c r="E20" s="21"/>
      <c r="F20" s="18"/>
      <c r="G20" s="31"/>
      <c r="H20" s="35"/>
      <c r="I20" s="40" t="str">
        <f t="shared" si="0"/>
        <v/>
      </c>
    </row>
    <row r="21" spans="1:9" x14ac:dyDescent="0.2">
      <c r="A21" s="31"/>
      <c r="B21" s="31"/>
      <c r="C21" s="31"/>
      <c r="D21" s="31"/>
      <c r="E21" s="21"/>
      <c r="F21" s="18"/>
      <c r="G21" s="31"/>
      <c r="H21" s="35"/>
      <c r="I21" s="40" t="str">
        <f t="shared" si="0"/>
        <v/>
      </c>
    </row>
    <row r="22" spans="1:9" x14ac:dyDescent="0.2">
      <c r="A22" s="31"/>
      <c r="B22" s="31"/>
      <c r="C22" s="31"/>
      <c r="D22" s="31"/>
      <c r="E22" s="21"/>
      <c r="F22" s="18"/>
      <c r="G22" s="31"/>
      <c r="H22" s="35"/>
      <c r="I22" s="40" t="str">
        <f t="shared" si="0"/>
        <v/>
      </c>
    </row>
    <row r="23" spans="1:9" x14ac:dyDescent="0.2">
      <c r="A23" s="31"/>
      <c r="B23" s="31"/>
      <c r="C23" s="31"/>
      <c r="D23" s="31"/>
      <c r="E23" s="21"/>
      <c r="F23" s="18"/>
      <c r="G23" s="31"/>
      <c r="H23" s="35"/>
      <c r="I23" s="40" t="str">
        <f t="shared" si="0"/>
        <v/>
      </c>
    </row>
    <row r="24" spans="1:9" x14ac:dyDescent="0.2">
      <c r="A24" s="31"/>
      <c r="B24" s="31"/>
      <c r="C24" s="31"/>
      <c r="D24" s="31"/>
      <c r="E24" s="21"/>
      <c r="F24" s="18"/>
      <c r="G24" s="31"/>
      <c r="H24" s="35"/>
      <c r="I24" s="40" t="str">
        <f t="shared" si="0"/>
        <v/>
      </c>
    </row>
    <row r="25" spans="1:9" x14ac:dyDescent="0.2">
      <c r="A25" s="31"/>
      <c r="B25" s="31"/>
      <c r="C25" s="31"/>
      <c r="D25" s="31"/>
      <c r="E25" s="21"/>
      <c r="F25" s="18"/>
      <c r="G25" s="31"/>
      <c r="H25" s="35"/>
      <c r="I25" s="40" t="str">
        <f t="shared" si="0"/>
        <v/>
      </c>
    </row>
    <row r="26" spans="1:9" x14ac:dyDescent="0.2">
      <c r="A26" s="31"/>
      <c r="B26" s="31"/>
      <c r="C26" s="31"/>
      <c r="D26" s="31"/>
      <c r="E26" s="21"/>
      <c r="F26" s="18"/>
      <c r="G26" s="31"/>
      <c r="H26" s="35"/>
      <c r="I26" s="40" t="str">
        <f t="shared" si="0"/>
        <v/>
      </c>
    </row>
    <row r="27" spans="1:9" x14ac:dyDescent="0.2">
      <c r="A27" s="31"/>
      <c r="B27" s="31"/>
      <c r="C27" s="31"/>
      <c r="D27" s="31"/>
      <c r="E27" s="21"/>
      <c r="F27" s="18"/>
      <c r="G27" s="31"/>
      <c r="H27" s="35"/>
      <c r="I27" s="40" t="str">
        <f t="shared" si="0"/>
        <v/>
      </c>
    </row>
    <row r="28" spans="1:9" x14ac:dyDescent="0.2">
      <c r="A28" s="31"/>
      <c r="B28" s="31"/>
      <c r="C28" s="31"/>
      <c r="D28" s="31"/>
      <c r="E28" s="21"/>
      <c r="F28" s="18"/>
      <c r="G28" s="31"/>
      <c r="H28" s="35"/>
      <c r="I28" s="40" t="str">
        <f t="shared" si="0"/>
        <v/>
      </c>
    </row>
    <row r="29" spans="1:9" x14ac:dyDescent="0.2">
      <c r="A29" s="31"/>
      <c r="B29" s="31"/>
      <c r="C29" s="31"/>
      <c r="D29" s="31"/>
      <c r="E29" s="21"/>
      <c r="F29" s="18"/>
      <c r="G29" s="31"/>
      <c r="H29" s="35"/>
      <c r="I29" s="40" t="str">
        <f t="shared" si="0"/>
        <v/>
      </c>
    </row>
    <row r="30" spans="1:9" x14ac:dyDescent="0.2">
      <c r="A30" s="31"/>
      <c r="B30" s="31"/>
      <c r="C30" s="31"/>
      <c r="D30" s="31"/>
      <c r="E30" s="21"/>
      <c r="F30" s="18"/>
      <c r="G30" s="31"/>
      <c r="H30" s="35"/>
      <c r="I30" s="40" t="str">
        <f t="shared" si="0"/>
        <v/>
      </c>
    </row>
    <row r="31" spans="1:9" x14ac:dyDescent="0.2">
      <c r="A31" s="31"/>
      <c r="B31" s="31"/>
      <c r="C31" s="31"/>
      <c r="D31" s="31"/>
      <c r="E31" s="21"/>
      <c r="F31" s="18"/>
      <c r="G31" s="31"/>
      <c r="H31" s="35"/>
      <c r="I31" s="40" t="str">
        <f t="shared" si="0"/>
        <v/>
      </c>
    </row>
    <row r="32" spans="1:9" x14ac:dyDescent="0.2">
      <c r="A32" s="31"/>
      <c r="B32" s="31"/>
      <c r="C32" s="31"/>
      <c r="D32" s="31"/>
      <c r="E32" s="21"/>
      <c r="F32" s="18"/>
      <c r="G32" s="31"/>
      <c r="H32" s="35"/>
      <c r="I32" s="40" t="str">
        <f t="shared" si="0"/>
        <v/>
      </c>
    </row>
    <row r="33" spans="1:9" x14ac:dyDescent="0.2">
      <c r="A33" s="31"/>
      <c r="B33" s="31"/>
      <c r="C33" s="31"/>
      <c r="D33" s="31"/>
      <c r="E33" s="21"/>
      <c r="F33" s="18"/>
      <c r="G33" s="31"/>
      <c r="H33" s="35"/>
      <c r="I33" s="40" t="str">
        <f t="shared" si="0"/>
        <v/>
      </c>
    </row>
    <row r="34" spans="1:9" x14ac:dyDescent="0.2">
      <c r="A34" s="31"/>
      <c r="B34" s="31"/>
      <c r="C34" s="31"/>
      <c r="D34" s="31"/>
      <c r="E34" s="21"/>
      <c r="F34" s="18"/>
      <c r="G34" s="31"/>
      <c r="H34" s="35"/>
      <c r="I34" s="40" t="str">
        <f t="shared" si="0"/>
        <v/>
      </c>
    </row>
    <row r="35" spans="1:9" x14ac:dyDescent="0.2">
      <c r="A35" s="31"/>
      <c r="B35" s="31"/>
      <c r="C35" s="31"/>
      <c r="D35" s="31"/>
      <c r="E35" s="21"/>
      <c r="F35" s="18"/>
      <c r="G35" s="31"/>
      <c r="H35" s="35"/>
      <c r="I35" s="40" t="str">
        <f t="shared" si="0"/>
        <v/>
      </c>
    </row>
    <row r="36" spans="1:9" x14ac:dyDescent="0.2">
      <c r="A36" s="31"/>
      <c r="B36" s="31"/>
      <c r="C36" s="31"/>
      <c r="D36" s="31"/>
      <c r="E36" s="21"/>
      <c r="F36" s="18"/>
      <c r="G36" s="31"/>
      <c r="H36" s="35"/>
      <c r="I36" s="40" t="str">
        <f t="shared" si="0"/>
        <v/>
      </c>
    </row>
    <row r="37" spans="1:9" x14ac:dyDescent="0.2">
      <c r="A37" s="31"/>
      <c r="B37" s="31"/>
      <c r="C37" s="31"/>
      <c r="D37" s="31"/>
      <c r="E37" s="21"/>
      <c r="F37" s="18"/>
      <c r="G37" s="31"/>
      <c r="H37" s="35"/>
      <c r="I37" s="40" t="str">
        <f t="shared" si="0"/>
        <v/>
      </c>
    </row>
    <row r="38" spans="1:9" x14ac:dyDescent="0.2">
      <c r="A38" s="31"/>
      <c r="B38" s="31"/>
      <c r="C38" s="31"/>
      <c r="D38" s="31"/>
      <c r="E38" s="21"/>
      <c r="F38" s="18"/>
      <c r="G38" s="31"/>
      <c r="H38" s="35"/>
      <c r="I38" s="40" t="str">
        <f t="shared" si="0"/>
        <v/>
      </c>
    </row>
    <row r="39" spans="1:9" x14ac:dyDescent="0.2">
      <c r="A39" s="31"/>
      <c r="B39" s="31"/>
      <c r="C39" s="31"/>
      <c r="D39" s="31"/>
      <c r="E39" s="21"/>
      <c r="F39" s="18"/>
      <c r="G39" s="31"/>
      <c r="H39" s="35"/>
      <c r="I39" s="40" t="str">
        <f t="shared" si="0"/>
        <v/>
      </c>
    </row>
    <row r="40" spans="1:9" x14ac:dyDescent="0.2">
      <c r="A40" s="31"/>
      <c r="B40" s="31"/>
      <c r="C40" s="31"/>
      <c r="D40" s="31"/>
      <c r="E40" s="21"/>
      <c r="F40" s="18"/>
      <c r="G40" s="31"/>
      <c r="H40" s="35"/>
      <c r="I40" s="40" t="str">
        <f t="shared" si="0"/>
        <v/>
      </c>
    </row>
    <row r="41" spans="1:9" x14ac:dyDescent="0.2">
      <c r="A41" s="31"/>
      <c r="B41" s="31"/>
      <c r="C41" s="31"/>
      <c r="D41" s="31"/>
      <c r="E41" s="21"/>
      <c r="F41" s="18"/>
      <c r="G41" s="31"/>
      <c r="H41" s="35"/>
      <c r="I41" s="40" t="str">
        <f t="shared" si="0"/>
        <v/>
      </c>
    </row>
    <row r="42" spans="1:9" x14ac:dyDescent="0.2">
      <c r="A42" s="31"/>
      <c r="B42" s="31"/>
      <c r="C42" s="31"/>
      <c r="D42" s="31"/>
      <c r="E42" s="21"/>
      <c r="F42" s="18"/>
      <c r="G42" s="31"/>
      <c r="H42" s="35"/>
      <c r="I42" s="40" t="str">
        <f t="shared" si="0"/>
        <v/>
      </c>
    </row>
    <row r="43" spans="1:9" x14ac:dyDescent="0.2">
      <c r="A43" s="31"/>
      <c r="B43" s="31"/>
      <c r="C43" s="31"/>
      <c r="D43" s="31"/>
      <c r="E43" s="21"/>
      <c r="F43" s="18"/>
      <c r="G43" s="31"/>
      <c r="H43" s="35"/>
      <c r="I43" s="40" t="str">
        <f t="shared" si="0"/>
        <v/>
      </c>
    </row>
  </sheetData>
  <mergeCells count="1">
    <mergeCell ref="A2:H2"/>
  </mergeCells>
  <conditionalFormatting sqref="A4:H43">
    <cfRule type="expression" dxfId="0" priority="1">
      <formula>$A4="Nein"</formula>
    </cfRule>
  </conditionalFormatting>
  <dataValidations count="3">
    <dataValidation type="list" allowBlank="1" errorTitle="Ungültige Eingabe" error="Bitte einen Wert aus der Liste wählen." sqref="A4:A43" xr:uid="{00000000-0002-0000-0300-000000000000}">
      <formula1>"Ja,Nein"</formula1>
    </dataValidation>
    <dataValidation type="list" allowBlank="1" errorTitle="Ungültige Eingabe" error="Bitte einen Wert aus der Liste wählen." sqref="D4:D43" xr:uid="{00000000-0002-0000-0300-000001000000}">
      <formula1>"Einnahme,Ausgabe"</formula1>
    </dataValidation>
    <dataValidation type="list" allowBlank="1" errorTitle="Ungültige Eingabe" error="Bitte einen Wert aus der Liste wählen." sqref="G4:G43" xr:uid="{00000000-0002-0000-0300-000002000000}">
      <formula1>"Theo,Jule,Gemeinsam"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</vt:lpstr>
      <vt:lpstr>Annahmen</vt:lpstr>
      <vt:lpstr>Monatlich</vt:lpstr>
      <vt:lpstr>Einmalig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 Rieken</cp:lastModifiedBy>
  <dcterms:created xsi:type="dcterms:W3CDTF">2026-08-26T03:58:40Z</dcterms:created>
  <dcterms:modified xsi:type="dcterms:W3CDTF">2026-08-31T11:02:51Z</dcterms:modified>
</cp:coreProperties>
</file>